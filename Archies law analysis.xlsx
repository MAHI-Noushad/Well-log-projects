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D:\3.2\Well log lab\assignment\"/>
    </mc:Choice>
  </mc:AlternateContent>
  <xr:revisionPtr revIDLastSave="0" documentId="13_ncr:1_{4F1D1A96-345C-44A3-BF48-0A1191DE548D}" xr6:coauthVersionLast="47" xr6:coauthVersionMax="47" xr10:uidLastSave="{00000000-0000-0000-0000-000000000000}"/>
  <bookViews>
    <workbookView xWindow="-108" yWindow="-108" windowWidth="23256" windowHeight="12720" activeTab="4" xr2:uid="{00000000-000D-0000-FFFF-FFFF00000000}"/>
  </bookViews>
  <sheets>
    <sheet name="exercise1.14(partial)" sheetId="4" r:id="rId1"/>
    <sheet name="linear" sheetId="1" r:id="rId2"/>
    <sheet name="exponential" sheetId="2" r:id="rId3"/>
    <sheet name="power" sheetId="3" r:id="rId4"/>
    <sheet name="final decis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8" i="3" l="1"/>
  <c r="S57" i="3"/>
  <c r="S54" i="3"/>
  <c r="S53" i="3" a="1"/>
  <c r="S53" i="3"/>
  <c r="T49" i="3"/>
  <c r="S49" i="3"/>
  <c r="T48" i="3"/>
  <c r="S48" i="3" a="1"/>
  <c r="S48" i="3"/>
  <c r="W43" i="3"/>
  <c r="R43" i="3"/>
  <c r="Q43" i="3"/>
  <c r="W42" i="3"/>
  <c r="R42" i="3"/>
  <c r="Q42" i="3"/>
  <c r="V30" i="3"/>
  <c r="R30" i="3"/>
  <c r="H30" i="3"/>
  <c r="G30" i="3"/>
  <c r="F30" i="3"/>
  <c r="V29" i="3"/>
  <c r="R29" i="3"/>
  <c r="H29" i="3"/>
  <c r="G29" i="3"/>
  <c r="F29" i="3"/>
  <c r="V28" i="3"/>
  <c r="R28" i="3"/>
  <c r="H28" i="3"/>
  <c r="G28" i="3"/>
  <c r="F28" i="3"/>
  <c r="V27" i="3"/>
  <c r="R27" i="3"/>
  <c r="H27" i="3"/>
  <c r="G27" i="3"/>
  <c r="F27" i="3"/>
  <c r="V26" i="3"/>
  <c r="R26" i="3"/>
  <c r="H26" i="3"/>
  <c r="G26" i="3"/>
  <c r="F26" i="3"/>
  <c r="V25" i="3"/>
  <c r="R25" i="3"/>
  <c r="H25" i="3"/>
  <c r="G25" i="3"/>
  <c r="F25" i="3"/>
  <c r="V24" i="3"/>
  <c r="R24" i="3"/>
  <c r="H24" i="3"/>
  <c r="G24" i="3"/>
  <c r="F24" i="3"/>
  <c r="V23" i="3"/>
  <c r="R23" i="3"/>
  <c r="H23" i="3"/>
  <c r="G23" i="3"/>
  <c r="F23" i="3"/>
  <c r="V22" i="3"/>
  <c r="R22" i="3"/>
  <c r="H22" i="3"/>
  <c r="G22" i="3"/>
  <c r="F22" i="3"/>
  <c r="V21" i="3"/>
  <c r="R21" i="3"/>
  <c r="H21" i="3"/>
  <c r="G21" i="3"/>
  <c r="F21" i="3"/>
  <c r="V20" i="3"/>
  <c r="R20" i="3"/>
  <c r="H20" i="3"/>
  <c r="G20" i="3"/>
  <c r="F20" i="3"/>
  <c r="V19" i="3"/>
  <c r="R19" i="3"/>
  <c r="H19" i="3"/>
  <c r="G19" i="3"/>
  <c r="F19" i="3"/>
  <c r="V18" i="3"/>
  <c r="R18" i="3"/>
  <c r="H18" i="3"/>
  <c r="G18" i="3"/>
  <c r="F18" i="3"/>
  <c r="V17" i="3"/>
  <c r="R17" i="3"/>
  <c r="H17" i="3"/>
  <c r="G17" i="3"/>
  <c r="F17" i="3"/>
  <c r="V16" i="3"/>
  <c r="R16" i="3"/>
  <c r="H16" i="3"/>
  <c r="G16" i="3"/>
  <c r="F16" i="3"/>
  <c r="Y15" i="3"/>
  <c r="X15" i="3"/>
  <c r="W15" i="3"/>
  <c r="V15" i="3"/>
  <c r="R15" i="3"/>
  <c r="P15" i="3"/>
  <c r="N15" i="3"/>
  <c r="L15" i="3"/>
  <c r="K15" i="3"/>
  <c r="G15" i="3"/>
  <c r="F15" i="3"/>
  <c r="S52" i="2"/>
  <c r="S51" i="2"/>
  <c r="S48" i="2"/>
  <c r="S47" i="2" a="1"/>
  <c r="S47" i="2"/>
  <c r="U45" i="2"/>
  <c r="T45" i="2"/>
  <c r="U44" i="2"/>
  <c r="T44" i="2" a="1"/>
  <c r="T44" i="2"/>
  <c r="X38" i="2"/>
  <c r="S38" i="2"/>
  <c r="R38" i="2"/>
  <c r="X37" i="2"/>
  <c r="V37" i="2"/>
  <c r="S37" i="2"/>
  <c r="V29" i="2"/>
  <c r="R29" i="2"/>
  <c r="H29" i="2"/>
  <c r="F29" i="2"/>
  <c r="V28" i="2"/>
  <c r="R28" i="2"/>
  <c r="H28" i="2"/>
  <c r="F28" i="2"/>
  <c r="V27" i="2"/>
  <c r="R27" i="2"/>
  <c r="H27" i="2"/>
  <c r="F27" i="2"/>
  <c r="V26" i="2"/>
  <c r="R26" i="2"/>
  <c r="H26" i="2"/>
  <c r="F26" i="2"/>
  <c r="V25" i="2"/>
  <c r="R25" i="2"/>
  <c r="H25" i="2"/>
  <c r="F25" i="2"/>
  <c r="V24" i="2"/>
  <c r="R24" i="2"/>
  <c r="H24" i="2"/>
  <c r="F24" i="2"/>
  <c r="V23" i="2"/>
  <c r="R23" i="2"/>
  <c r="H23" i="2"/>
  <c r="F23" i="2"/>
  <c r="V22" i="2"/>
  <c r="R22" i="2"/>
  <c r="H22" i="2"/>
  <c r="F22" i="2"/>
  <c r="V21" i="2"/>
  <c r="R21" i="2"/>
  <c r="H21" i="2"/>
  <c r="F21" i="2"/>
  <c r="V20" i="2"/>
  <c r="R20" i="2"/>
  <c r="H20" i="2"/>
  <c r="F20" i="2"/>
  <c r="V19" i="2"/>
  <c r="R19" i="2"/>
  <c r="H19" i="2"/>
  <c r="F19" i="2"/>
  <c r="V18" i="2"/>
  <c r="R18" i="2"/>
  <c r="H18" i="2"/>
  <c r="F18" i="2"/>
  <c r="V17" i="2"/>
  <c r="R17" i="2"/>
  <c r="H17" i="2"/>
  <c r="F17" i="2"/>
  <c r="V16" i="2"/>
  <c r="R16" i="2"/>
  <c r="H16" i="2"/>
  <c r="F16" i="2"/>
  <c r="V15" i="2"/>
  <c r="R15" i="2"/>
  <c r="H15" i="2"/>
  <c r="F15" i="2"/>
  <c r="Y14" i="2"/>
  <c r="X14" i="2"/>
  <c r="W14" i="2"/>
  <c r="V14" i="2"/>
  <c r="R14" i="2"/>
  <c r="P14" i="2"/>
  <c r="N14" i="2"/>
  <c r="L14" i="2"/>
  <c r="K14" i="2"/>
  <c r="F14" i="2"/>
  <c r="N53" i="1"/>
  <c r="N52" i="1" a="1"/>
  <c r="N52" i="1"/>
  <c r="R49" i="1"/>
  <c r="Q49" i="1"/>
  <c r="R48" i="1"/>
  <c r="Q48" i="1" a="1"/>
  <c r="Q48" i="1"/>
  <c r="Q45" i="1"/>
  <c r="M45" i="1"/>
  <c r="L45" i="1"/>
  <c r="Q44" i="1"/>
  <c r="N44" i="1"/>
  <c r="M44" i="1"/>
  <c r="V38" i="1"/>
  <c r="R38" i="1"/>
  <c r="H38" i="1"/>
  <c r="V37" i="1"/>
  <c r="R37" i="1"/>
  <c r="H37" i="1"/>
  <c r="V36" i="1"/>
  <c r="R36" i="1"/>
  <c r="H36" i="1"/>
  <c r="V35" i="1"/>
  <c r="R35" i="1"/>
  <c r="H35" i="1"/>
  <c r="V34" i="1"/>
  <c r="R34" i="1"/>
  <c r="H34" i="1"/>
  <c r="V33" i="1"/>
  <c r="R33" i="1"/>
  <c r="H33" i="1"/>
  <c r="V32" i="1"/>
  <c r="R32" i="1"/>
  <c r="H32" i="1"/>
  <c r="V31" i="1"/>
  <c r="R31" i="1"/>
  <c r="H31" i="1"/>
  <c r="V30" i="1"/>
  <c r="R30" i="1"/>
  <c r="H30" i="1"/>
  <c r="V29" i="1"/>
  <c r="R29" i="1"/>
  <c r="H29" i="1"/>
  <c r="V28" i="1"/>
  <c r="R28" i="1"/>
  <c r="H28" i="1"/>
  <c r="V27" i="1"/>
  <c r="R27" i="1"/>
  <c r="H27" i="1"/>
  <c r="V26" i="1"/>
  <c r="R26" i="1"/>
  <c r="H26" i="1"/>
  <c r="V25" i="1"/>
  <c r="R25" i="1"/>
  <c r="H25" i="1"/>
  <c r="V24" i="1"/>
  <c r="R24" i="1"/>
  <c r="H24" i="1"/>
  <c r="Y23" i="1"/>
  <c r="X23" i="1"/>
  <c r="W23" i="1"/>
  <c r="V23" i="1"/>
  <c r="R23" i="1"/>
  <c r="P23" i="1"/>
  <c r="N23" i="1"/>
  <c r="L23" i="1"/>
  <c r="K23" i="1"/>
  <c r="T32" i="4"/>
  <c r="S32" i="4"/>
  <c r="R32" i="4"/>
  <c r="Q32" i="4"/>
  <c r="P32" i="4"/>
  <c r="N32" i="4"/>
  <c r="M32" i="4"/>
  <c r="T31" i="4"/>
  <c r="S31" i="4"/>
  <c r="R31" i="4"/>
  <c r="Q31" i="4"/>
  <c r="P31" i="4"/>
  <c r="N31" i="4"/>
  <c r="M31" i="4"/>
  <c r="T30" i="4"/>
  <c r="S30" i="4"/>
  <c r="R30" i="4"/>
  <c r="Q30" i="4"/>
  <c r="P30" i="4"/>
  <c r="N30" i="4"/>
  <c r="M30" i="4"/>
  <c r="T29" i="4"/>
  <c r="S29" i="4"/>
  <c r="R29" i="4"/>
  <c r="Q29" i="4"/>
  <c r="P29" i="4"/>
  <c r="N29" i="4"/>
  <c r="M29" i="4"/>
  <c r="T28" i="4"/>
  <c r="S28" i="4"/>
  <c r="R28" i="4"/>
  <c r="Q28" i="4"/>
  <c r="P28" i="4"/>
  <c r="N28" i="4"/>
  <c r="M28" i="4"/>
  <c r="T27" i="4"/>
  <c r="S27" i="4"/>
  <c r="R27" i="4"/>
  <c r="Q27" i="4"/>
  <c r="P27" i="4"/>
  <c r="N27" i="4"/>
  <c r="M27" i="4"/>
  <c r="T26" i="4"/>
  <c r="S26" i="4"/>
  <c r="R26" i="4"/>
  <c r="Q26" i="4"/>
  <c r="P26" i="4"/>
  <c r="N26" i="4"/>
  <c r="M26" i="4"/>
  <c r="T25" i="4"/>
  <c r="S25" i="4"/>
  <c r="R25" i="4"/>
  <c r="Q25" i="4"/>
  <c r="P25" i="4"/>
  <c r="N25" i="4"/>
  <c r="M25" i="4"/>
  <c r="T24" i="4"/>
  <c r="S24" i="4"/>
  <c r="R24" i="4"/>
  <c r="Q24" i="4"/>
  <c r="P24" i="4"/>
  <c r="N24" i="4"/>
  <c r="M24" i="4"/>
  <c r="T23" i="4"/>
  <c r="S23" i="4"/>
  <c r="R23" i="4"/>
  <c r="Q23" i="4"/>
  <c r="P23" i="4"/>
  <c r="N23" i="4"/>
  <c r="M23" i="4"/>
  <c r="T22" i="4"/>
  <c r="S22" i="4"/>
  <c r="R22" i="4"/>
  <c r="Q22" i="4"/>
  <c r="P22" i="4"/>
  <c r="N22" i="4"/>
  <c r="M22" i="4"/>
  <c r="T21" i="4"/>
  <c r="S21" i="4"/>
  <c r="R21" i="4"/>
  <c r="Q21" i="4"/>
  <c r="P21" i="4"/>
  <c r="N21" i="4"/>
  <c r="M21" i="4"/>
  <c r="T20" i="4"/>
  <c r="S20" i="4"/>
  <c r="R20" i="4"/>
  <c r="Q20" i="4"/>
  <c r="P20" i="4"/>
  <c r="N20" i="4"/>
  <c r="M20" i="4"/>
  <c r="T19" i="4"/>
  <c r="S19" i="4"/>
  <c r="R19" i="4"/>
  <c r="Q19" i="4"/>
  <c r="P19" i="4"/>
  <c r="N19" i="4"/>
  <c r="M19" i="4"/>
  <c r="T18" i="4"/>
  <c r="S18" i="4"/>
  <c r="R18" i="4"/>
  <c r="Q18" i="4"/>
  <c r="P18" i="4"/>
  <c r="N18" i="4"/>
  <c r="M18" i="4"/>
  <c r="T17" i="4"/>
  <c r="S17" i="4"/>
  <c r="R17" i="4"/>
  <c r="Q17" i="4"/>
  <c r="P17" i="4"/>
  <c r="N17" i="4"/>
  <c r="M17" i="4"/>
</calcChain>
</file>

<file path=xl/sharedStrings.xml><?xml version="1.0" encoding="utf-8"?>
<sst xmlns="http://schemas.openxmlformats.org/spreadsheetml/2006/main" count="100" uniqueCount="61">
  <si>
    <t>D</t>
  </si>
  <si>
    <t>cm</t>
  </si>
  <si>
    <t>m</t>
  </si>
  <si>
    <t>Bottle Wt.</t>
  </si>
  <si>
    <t>gm</t>
  </si>
  <si>
    <t>BV</t>
  </si>
  <si>
    <t>Rw</t>
  </si>
  <si>
    <t>ohm.m</t>
  </si>
  <si>
    <t>ρbrine</t>
  </si>
  <si>
    <t>gm/cm3</t>
  </si>
  <si>
    <t>sample no.</t>
  </si>
  <si>
    <t>Core</t>
  </si>
  <si>
    <t>L
(cm)</t>
  </si>
  <si>
    <t>Dry
Core Wt
(gm)</t>
  </si>
  <si>
    <t>Saturated Core Wt +Bottle</t>
  </si>
  <si>
    <t>r0
(Ω)</t>
  </si>
  <si>
    <t>Saturated
Core wt
(gm)</t>
  </si>
  <si>
    <t>Mw
(gm)</t>
  </si>
  <si>
    <t>PV
(cm3)</t>
  </si>
  <si>
    <t>BV
(cm3)</t>
  </si>
  <si>
    <t>φ</t>
  </si>
  <si>
    <t>A
(m2)</t>
  </si>
  <si>
    <t>R0
(ohm.m)</t>
  </si>
  <si>
    <t>F</t>
  </si>
  <si>
    <t>14X</t>
  </si>
  <si>
    <t>23X</t>
  </si>
  <si>
    <t>.</t>
  </si>
  <si>
    <t>linear</t>
  </si>
  <si>
    <t>∑φi</t>
  </si>
  <si>
    <r>
      <rPr>
        <b/>
        <sz val="14"/>
        <color theme="1"/>
        <rFont val="Calibri"/>
        <charset val="134"/>
        <scheme val="minor"/>
      </rPr>
      <t>∑φ</t>
    </r>
    <r>
      <rPr>
        <b/>
        <sz val="10"/>
        <color theme="1"/>
        <rFont val="Calibri"/>
        <charset val="134"/>
        <scheme val="minor"/>
      </rPr>
      <t>i</t>
    </r>
    <r>
      <rPr>
        <b/>
        <vertAlign val="superscript"/>
        <sz val="16"/>
        <color theme="1"/>
        <rFont val="Calibri"/>
        <charset val="134"/>
        <scheme val="minor"/>
      </rPr>
      <t>2</t>
    </r>
  </si>
  <si>
    <r>
      <rPr>
        <b/>
        <sz val="11"/>
        <color theme="1"/>
        <rFont val="Calibri"/>
        <charset val="134"/>
        <scheme val="minor"/>
      </rPr>
      <t>∑F</t>
    </r>
    <r>
      <rPr>
        <b/>
        <vertAlign val="subscript"/>
        <sz val="11"/>
        <color theme="1"/>
        <rFont val="Calibri"/>
        <charset val="134"/>
        <scheme val="minor"/>
      </rPr>
      <t>i</t>
    </r>
  </si>
  <si>
    <t>∑Fiφi</t>
  </si>
  <si>
    <t>F= -875.68φ + 180.27</t>
  </si>
  <si>
    <t>e</t>
  </si>
  <si>
    <t>Se</t>
  </si>
  <si>
    <t>Mse</t>
  </si>
  <si>
    <t>RMSe</t>
  </si>
  <si>
    <t>n</t>
  </si>
  <si>
    <t>∑Fi</t>
  </si>
  <si>
    <t>∑φi2</t>
  </si>
  <si>
    <t>inverse</t>
  </si>
  <si>
    <t>a</t>
  </si>
  <si>
    <t>EXPONENTIAL</t>
  </si>
  <si>
    <r>
      <rPr>
        <b/>
        <sz val="11"/>
        <color theme="1"/>
        <rFont val="Calibri"/>
        <charset val="134"/>
        <scheme val="minor"/>
      </rPr>
      <t>∑lnF</t>
    </r>
    <r>
      <rPr>
        <b/>
        <vertAlign val="subscript"/>
        <sz val="11"/>
        <color theme="1"/>
        <rFont val="Calibri"/>
        <charset val="134"/>
        <scheme val="minor"/>
      </rPr>
      <t>i</t>
    </r>
  </si>
  <si>
    <t>∑ln(Fi)φi</t>
  </si>
  <si>
    <r>
      <rPr>
        <sz val="14"/>
        <color theme="1"/>
        <rFont val="Calibri"/>
        <charset val="134"/>
        <scheme val="minor"/>
      </rPr>
      <t>F= 387.99e</t>
    </r>
    <r>
      <rPr>
        <vertAlign val="superscript"/>
        <sz val="14"/>
        <color theme="1"/>
        <rFont val="Calibri"/>
        <charset val="134"/>
        <scheme val="minor"/>
      </rPr>
      <t>-15.28φ</t>
    </r>
  </si>
  <si>
    <t>lnF</t>
  </si>
  <si>
    <t>MSe</t>
  </si>
  <si>
    <t>∑lnFi</t>
  </si>
  <si>
    <t>lna</t>
  </si>
  <si>
    <t>POWER</t>
  </si>
  <si>
    <t>logF</t>
  </si>
  <si>
    <t>logφ</t>
  </si>
  <si>
    <t>∑logφi</t>
  </si>
  <si>
    <r>
      <rPr>
        <b/>
        <sz val="14"/>
        <color theme="1"/>
        <rFont val="Calibri"/>
        <charset val="134"/>
        <scheme val="minor"/>
      </rPr>
      <t>∑logφ</t>
    </r>
    <r>
      <rPr>
        <b/>
        <sz val="10"/>
        <color theme="1"/>
        <rFont val="Calibri"/>
        <charset val="134"/>
        <scheme val="minor"/>
      </rPr>
      <t>i</t>
    </r>
    <r>
      <rPr>
        <b/>
        <vertAlign val="superscript"/>
        <sz val="16"/>
        <color theme="1"/>
        <rFont val="Calibri"/>
        <charset val="134"/>
        <scheme val="minor"/>
      </rPr>
      <t>2</t>
    </r>
  </si>
  <si>
    <r>
      <rPr>
        <b/>
        <sz val="11"/>
        <color theme="1"/>
        <rFont val="Calibri"/>
        <charset val="134"/>
        <scheme val="minor"/>
      </rPr>
      <t>∑logF</t>
    </r>
    <r>
      <rPr>
        <b/>
        <vertAlign val="subscript"/>
        <sz val="11"/>
        <color theme="1"/>
        <rFont val="Calibri"/>
        <charset val="134"/>
        <scheme val="minor"/>
      </rPr>
      <t>i</t>
    </r>
  </si>
  <si>
    <t>∑(logFi)(logφi)</t>
  </si>
  <si>
    <r>
      <rPr>
        <sz val="16"/>
        <color theme="1"/>
        <rFont val="Calibri"/>
        <charset val="134"/>
        <scheme val="minor"/>
      </rPr>
      <t>F= 0.629φ</t>
    </r>
    <r>
      <rPr>
        <vertAlign val="superscript"/>
        <sz val="16"/>
        <color theme="1"/>
        <rFont val="Calibri"/>
        <charset val="134"/>
        <scheme val="minor"/>
      </rPr>
      <t>-2.133</t>
    </r>
  </si>
  <si>
    <t>∑logFi</t>
  </si>
  <si>
    <t>∑logφi2</t>
  </si>
  <si>
    <t>loga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</si>
</sst>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charset val="134"/>
      <scheme val="minor"/>
    </font>
    <font>
      <b/>
      <sz val="20"/>
      <color theme="1"/>
      <name val="Calibri"/>
      <charset val="134"/>
      <scheme val="minor"/>
    </font>
    <font>
      <b/>
      <sz val="11"/>
      <color theme="1"/>
      <name val="Calibri"/>
      <charset val="134"/>
      <scheme val="minor"/>
    </font>
    <font>
      <b/>
      <sz val="12"/>
      <color theme="1"/>
      <name val="Calibri"/>
      <charset val="134"/>
    </font>
    <font>
      <sz val="16"/>
      <color theme="1"/>
      <name val="Calibri"/>
      <charset val="134"/>
      <scheme val="minor"/>
    </font>
    <font>
      <sz val="14"/>
      <color theme="1"/>
      <name val="Calibri"/>
      <charset val="134"/>
      <scheme val="minor"/>
    </font>
    <font>
      <b/>
      <sz val="22"/>
      <color theme="1"/>
      <name val="Calibri"/>
      <charset val="134"/>
      <scheme val="minor"/>
    </font>
    <font>
      <sz val="10"/>
      <color theme="1"/>
      <name val="Calibri"/>
      <charset val="134"/>
      <scheme val="minor"/>
    </font>
    <font>
      <sz val="11"/>
      <color rgb="FF000000"/>
      <name val="Calibri"/>
      <charset val="134"/>
      <scheme val="minor"/>
    </font>
    <font>
      <b/>
      <vertAlign val="subscript"/>
      <sz val="11"/>
      <color theme="1"/>
      <name val="Calibri"/>
      <charset val="134"/>
      <scheme val="minor"/>
    </font>
    <font>
      <b/>
      <sz val="14"/>
      <color theme="1"/>
      <name val="Calibri"/>
      <charset val="134"/>
      <scheme val="minor"/>
    </font>
    <font>
      <b/>
      <sz val="10"/>
      <color theme="1"/>
      <name val="Calibri"/>
      <charset val="134"/>
      <scheme val="minor"/>
    </font>
    <font>
      <b/>
      <vertAlign val="superscript"/>
      <sz val="16"/>
      <color theme="1"/>
      <name val="Calibri"/>
      <charset val="134"/>
      <scheme val="minor"/>
    </font>
    <font>
      <vertAlign val="superscript"/>
      <sz val="16"/>
      <color theme="1"/>
      <name val="Calibri"/>
      <charset val="134"/>
      <scheme val="minor"/>
    </font>
    <font>
      <vertAlign val="superscript"/>
      <sz val="14"/>
      <color theme="1"/>
      <name val="Calibri"/>
      <charset val="134"/>
      <scheme val="minor"/>
    </font>
  </fonts>
  <fills count="7">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theme="8" tint="0.39994506668294322"/>
        <bgColor indexed="64"/>
      </patternFill>
    </fill>
    <fill>
      <patternFill patternType="solid">
        <fgColor theme="2" tint="-9.9978637043366805E-2"/>
        <bgColor indexed="64"/>
      </patternFill>
    </fill>
    <fill>
      <patternFill patternType="solid">
        <fgColor rgb="FFFFFF00"/>
        <bgColor indexed="64"/>
      </patternFill>
    </fill>
  </fills>
  <borders count="81">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diagonal/>
    </border>
    <border>
      <left style="medium">
        <color auto="1"/>
      </left>
      <right/>
      <top style="medium">
        <color rgb="FF000000"/>
      </top>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style="medium">
        <color auto="1"/>
      </right>
      <top/>
      <bottom/>
      <diagonal/>
    </border>
    <border>
      <left style="medium">
        <color auto="1"/>
      </left>
      <right/>
      <top/>
      <bottom style="medium">
        <color rgb="FFCCCCCC"/>
      </bottom>
      <diagonal/>
    </border>
    <border>
      <left style="medium">
        <color auto="1"/>
      </left>
      <right style="medium">
        <color auto="1"/>
      </right>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right/>
      <top style="medium">
        <color rgb="FFCCCCCC"/>
      </top>
      <bottom style="medium">
        <color rgb="FF000000"/>
      </bottom>
      <diagonal/>
    </border>
    <border>
      <left style="medium">
        <color auto="1"/>
      </left>
      <right style="medium">
        <color auto="1"/>
      </right>
      <top/>
      <bottom style="medium">
        <color rgb="FF000000"/>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rgb="FFCCCCCC"/>
      </top>
      <bottom style="medium">
        <color rgb="FF000000"/>
      </bottom>
      <diagonal/>
    </border>
    <border>
      <left style="medium">
        <color auto="1"/>
      </left>
      <right style="medium">
        <color auto="1"/>
      </right>
      <top style="medium">
        <color rgb="FFCCCCCC"/>
      </top>
      <bottom style="medium">
        <color auto="1"/>
      </bottom>
      <diagonal/>
    </border>
    <border>
      <left/>
      <right/>
      <top style="medium">
        <color auto="1"/>
      </top>
      <bottom/>
      <diagonal/>
    </border>
    <border>
      <left/>
      <right/>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rgb="FF000000"/>
      </top>
      <bottom/>
      <diagonal/>
    </border>
    <border>
      <left style="medium">
        <color auto="1"/>
      </left>
      <right style="medium">
        <color auto="1"/>
      </right>
      <top/>
      <bottom style="medium">
        <color rgb="FFCCCCCC"/>
      </bottom>
      <diagonal/>
    </border>
    <border>
      <left style="medium">
        <color auto="1"/>
      </left>
      <right style="medium">
        <color auto="1"/>
      </right>
      <top style="medium">
        <color auto="1"/>
      </top>
      <bottom style="medium">
        <color rgb="FF000000"/>
      </bottom>
      <diagonal/>
    </border>
    <border>
      <left/>
      <right style="medium">
        <color rgb="FF000000"/>
      </right>
      <top style="medium">
        <color rgb="FFCCCCCC"/>
      </top>
      <bottom style="medium">
        <color rgb="FF000000"/>
      </bottom>
      <diagonal/>
    </border>
    <border>
      <left style="medium">
        <color rgb="FF000000"/>
      </left>
      <right/>
      <top/>
      <bottom style="medium">
        <color rgb="FF000000"/>
      </bottom>
      <diagonal/>
    </border>
    <border>
      <left style="medium">
        <color rgb="FF000000"/>
      </left>
      <right/>
      <top style="medium">
        <color rgb="FFCCCCCC"/>
      </top>
      <bottom style="medium">
        <color rgb="FF000000"/>
      </bottom>
      <diagonal/>
    </border>
    <border>
      <left style="medium">
        <color auto="1"/>
      </left>
      <right style="medium">
        <color auto="1"/>
      </right>
      <top/>
      <bottom style="medium">
        <color auto="1"/>
      </bottom>
      <diagonal/>
    </border>
    <border>
      <left style="medium">
        <color auto="1"/>
      </left>
      <right style="medium">
        <color rgb="FFCCCCCC"/>
      </right>
      <top style="medium">
        <color auto="1"/>
      </top>
      <bottom style="medium">
        <color rgb="FFCCCCCC"/>
      </bottom>
      <diagonal/>
    </border>
    <border>
      <left style="medium">
        <color rgb="FFCCCCCC"/>
      </left>
      <right style="medium">
        <color rgb="FFCCCCCC"/>
      </right>
      <top style="medium">
        <color auto="1"/>
      </top>
      <bottom style="medium">
        <color rgb="FFCCCCCC"/>
      </bottom>
      <diagonal/>
    </border>
    <border>
      <left style="medium">
        <color auto="1"/>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auto="1"/>
      </left>
      <right style="medium">
        <color rgb="FFCCCCCC"/>
      </right>
      <top style="medium">
        <color rgb="FFCCCCCC"/>
      </top>
      <bottom style="medium">
        <color auto="1"/>
      </bottom>
      <diagonal/>
    </border>
    <border>
      <left style="medium">
        <color rgb="FFCCCCCC"/>
      </left>
      <right style="medium">
        <color rgb="FFCCCCCC"/>
      </right>
      <top style="medium">
        <color rgb="FFCCCCCC"/>
      </top>
      <bottom style="medium">
        <color auto="1"/>
      </bottom>
      <diagonal/>
    </border>
    <border>
      <left style="medium">
        <color rgb="FFCCCCCC"/>
      </left>
      <right style="medium">
        <color rgb="FFCCCCCC"/>
      </right>
      <top/>
      <bottom/>
      <diagonal/>
    </border>
    <border>
      <left style="thin">
        <color auto="1"/>
      </left>
      <right style="medium">
        <color rgb="FF000000"/>
      </right>
      <top style="thin">
        <color auto="1"/>
      </top>
      <bottom/>
      <diagonal/>
    </border>
    <border>
      <left style="medium">
        <color rgb="FF000000"/>
      </left>
      <right style="medium">
        <color rgb="FF000000"/>
      </right>
      <top style="thin">
        <color auto="1"/>
      </top>
      <bottom/>
      <diagonal/>
    </border>
    <border>
      <left style="medium">
        <color auto="1"/>
      </left>
      <right style="medium">
        <color auto="1"/>
      </right>
      <top style="medium">
        <color auto="1"/>
      </top>
      <bottom style="medium">
        <color rgb="FFCCCCCC"/>
      </bottom>
      <diagonal/>
    </border>
    <border>
      <left/>
      <right style="medium">
        <color rgb="FF000000"/>
      </right>
      <top/>
      <bottom/>
      <diagonal/>
    </border>
    <border>
      <left style="medium">
        <color auto="1"/>
      </left>
      <right style="medium">
        <color auto="1"/>
      </right>
      <top style="medium">
        <color rgb="FFCCCCCC"/>
      </top>
      <bottom style="medium">
        <color rgb="FFCCCCCC"/>
      </bottom>
      <diagonal/>
    </border>
    <border>
      <left/>
      <right style="medium">
        <color rgb="FF000000"/>
      </right>
      <top/>
      <bottom style="medium">
        <color rgb="FF000000"/>
      </bottom>
      <diagonal/>
    </border>
    <border>
      <left/>
      <right style="medium">
        <color rgb="FF000000"/>
      </right>
      <top style="medium">
        <color rgb="FFCCCCCC"/>
      </top>
      <bottom style="medium">
        <color rgb="FFCCCCCC"/>
      </bottom>
      <diagonal/>
    </border>
    <border>
      <left/>
      <right style="medium">
        <color rgb="FF000000"/>
      </right>
      <top style="medium">
        <color rgb="FFCCCCCC"/>
      </top>
      <bottom style="thin">
        <color auto="1"/>
      </bottom>
      <diagonal/>
    </border>
    <border>
      <left style="medium">
        <color rgb="FFCCCCCC"/>
      </left>
      <right style="medium">
        <color auto="1"/>
      </right>
      <top style="medium">
        <color auto="1"/>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auto="1"/>
      </right>
      <top style="medium">
        <color rgb="FFCCCCCC"/>
      </top>
      <bottom style="medium">
        <color rgb="FFCCCCCC"/>
      </bottom>
      <diagonal/>
    </border>
    <border>
      <left style="medium">
        <color rgb="FFCCCCCC"/>
      </left>
      <right style="medium">
        <color auto="1"/>
      </right>
      <top style="medium">
        <color rgb="FFCCCCCC"/>
      </top>
      <bottom style="medium">
        <color auto="1"/>
      </bottom>
      <diagonal/>
    </border>
    <border>
      <left style="medium">
        <color rgb="FF000000"/>
      </left>
      <right style="medium">
        <color rgb="FFCCCCCC"/>
      </right>
      <top style="thin">
        <color auto="1"/>
      </top>
      <bottom/>
      <diagonal/>
    </border>
    <border>
      <left style="medium">
        <color rgb="FFCCCCCC"/>
      </left>
      <right style="medium">
        <color rgb="FFCCCCCC"/>
      </right>
      <top style="thin">
        <color auto="1"/>
      </top>
      <bottom/>
      <diagonal/>
    </border>
    <border>
      <left style="medium">
        <color rgb="FF000000"/>
      </left>
      <right style="medium">
        <color rgb="FF000000"/>
      </right>
      <top/>
      <bottom/>
      <diagonal/>
    </border>
    <border>
      <left style="medium">
        <color rgb="FF000000"/>
      </left>
      <right style="medium">
        <color rgb="FFCCCCCC"/>
      </right>
      <top/>
      <bottom/>
      <diagonal/>
    </border>
    <border>
      <left style="medium">
        <color rgb="FF000000"/>
      </left>
      <right style="medium">
        <color rgb="FF000000"/>
      </right>
      <top/>
      <bottom style="medium">
        <color rgb="FF000000"/>
      </bottom>
      <diagonal/>
    </border>
    <border>
      <left style="medium">
        <color rgb="FF000000"/>
      </left>
      <right style="medium">
        <color rgb="FFCCCCCC"/>
      </right>
      <top/>
      <bottom style="medium">
        <color rgb="FF000000"/>
      </bottom>
      <diagonal/>
    </border>
    <border>
      <left style="medium">
        <color rgb="FFCCCCCC"/>
      </left>
      <right style="medium">
        <color rgb="FFCCCCCC"/>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thin">
        <color auto="1"/>
      </bottom>
      <diagonal/>
    </border>
    <border>
      <left style="medium">
        <color rgb="FFCCCCCC"/>
      </left>
      <right/>
      <top style="medium">
        <color rgb="FFCCCCCC"/>
      </top>
      <bottom/>
      <diagonal/>
    </border>
    <border>
      <left style="medium">
        <color rgb="FFCCCCCC"/>
      </left>
      <right style="medium">
        <color rgb="FF000000"/>
      </right>
      <top style="thin">
        <color auto="1"/>
      </top>
      <bottom/>
      <diagonal/>
    </border>
    <border>
      <left style="medium">
        <color rgb="FF000000"/>
      </left>
      <right/>
      <top style="thin">
        <color auto="1"/>
      </top>
      <bottom/>
      <diagonal/>
    </border>
    <border>
      <left style="medium">
        <color rgb="FFCCCCCC"/>
      </left>
      <right style="medium">
        <color rgb="FF000000"/>
      </right>
      <top/>
      <bottom/>
      <diagonal/>
    </border>
    <border>
      <left style="medium">
        <color rgb="FF000000"/>
      </left>
      <right/>
      <top/>
      <bottom/>
      <diagonal/>
    </border>
    <border>
      <left style="medium">
        <color rgb="FFCCCCCC"/>
      </left>
      <right style="medium">
        <color rgb="FF000000"/>
      </right>
      <top/>
      <bottom style="medium">
        <color rgb="FF000000"/>
      </bottom>
      <diagonal/>
    </border>
    <border>
      <left style="medium">
        <color rgb="FFCCCCCC"/>
      </left>
      <right/>
      <top style="medium">
        <color rgb="FFCCCCCC"/>
      </top>
      <bottom style="medium">
        <color rgb="FF000000"/>
      </bottom>
      <diagonal/>
    </border>
  </borders>
  <cellStyleXfs count="1">
    <xf numFmtId="0" fontId="0" fillId="0" borderId="0"/>
  </cellStyleXfs>
  <cellXfs count="232">
    <xf numFmtId="0" fontId="0" fillId="0" borderId="0" xfId="0"/>
    <xf numFmtId="0" fontId="0" fillId="0" borderId="0" xfId="0" applyAlignment="1">
      <alignment horizontal="left" indent="1"/>
    </xf>
    <xf numFmtId="0" fontId="0" fillId="0" borderId="0" xfId="0" applyAlignment="1">
      <alignment horizontal="left" indent="4"/>
    </xf>
    <xf numFmtId="0" fontId="0" fillId="0" borderId="4" xfId="0" applyBorder="1"/>
    <xf numFmtId="0" fontId="0" fillId="0" borderId="5" xfId="0" applyBorder="1" applyAlignment="1">
      <alignment horizontal="left" indent="1"/>
    </xf>
    <xf numFmtId="0" fontId="0" fillId="0" borderId="7" xfId="0" applyBorder="1" applyAlignment="1">
      <alignment horizontal="left" indent="4"/>
    </xf>
    <xf numFmtId="0" fontId="0" fillId="0" borderId="8" xfId="0" applyBorder="1" applyAlignment="1">
      <alignment horizontal="left" indent="4"/>
    </xf>
    <xf numFmtId="0" fontId="0" fillId="0" borderId="9" xfId="0" applyBorder="1"/>
    <xf numFmtId="0" fontId="0" fillId="0" borderId="10" xfId="0" applyBorder="1" applyAlignment="1">
      <alignment horizontal="left" indent="1"/>
    </xf>
    <xf numFmtId="0" fontId="0" fillId="0" borderId="11" xfId="0" applyBorder="1" applyAlignment="1">
      <alignment horizontal="left" indent="4"/>
    </xf>
    <xf numFmtId="0" fontId="0" fillId="0" borderId="0" xfId="0" applyAlignment="1">
      <alignment horizontal="left"/>
    </xf>
    <xf numFmtId="0" fontId="0" fillId="0" borderId="12" xfId="0" applyBorder="1" applyAlignment="1">
      <alignment horizontal="left" wrapText="1" indent="8"/>
    </xf>
    <xf numFmtId="0" fontId="0" fillId="0" borderId="13" xfId="0" applyBorder="1" applyAlignment="1">
      <alignment horizontal="left" wrapText="1" indent="8"/>
    </xf>
    <xf numFmtId="0" fontId="0" fillId="0" borderId="23" xfId="0" applyBorder="1" applyAlignment="1">
      <alignment horizontal="left" wrapText="1" indent="8"/>
    </xf>
    <xf numFmtId="0" fontId="0" fillId="0" borderId="24" xfId="0" applyBorder="1" applyAlignment="1">
      <alignment horizontal="left" vertical="center" wrapText="1" indent="8"/>
    </xf>
    <xf numFmtId="0" fontId="2" fillId="0" borderId="25" xfId="0" applyFont="1" applyBorder="1" applyAlignment="1">
      <alignment horizontal="left" indent="4"/>
    </xf>
    <xf numFmtId="0" fontId="0" fillId="0" borderId="28" xfId="0" applyBorder="1" applyAlignment="1">
      <alignment horizontal="left" indent="4"/>
    </xf>
    <xf numFmtId="0" fontId="0" fillId="0" borderId="29" xfId="0" applyBorder="1" applyAlignment="1">
      <alignment horizontal="left" vertical="center" wrapText="1" indent="8"/>
    </xf>
    <xf numFmtId="0" fontId="0" fillId="3" borderId="23" xfId="0" applyFill="1" applyBorder="1" applyAlignment="1">
      <alignment horizontal="left" wrapText="1" indent="8"/>
    </xf>
    <xf numFmtId="0" fontId="0" fillId="3" borderId="29" xfId="0" applyFill="1" applyBorder="1" applyAlignment="1">
      <alignment horizontal="left" vertical="center" wrapText="1" indent="8"/>
    </xf>
    <xf numFmtId="0" fontId="0" fillId="0" borderId="30" xfId="0" applyBorder="1" applyAlignment="1">
      <alignment horizontal="left" vertical="center" wrapText="1" indent="8"/>
    </xf>
    <xf numFmtId="0" fontId="0" fillId="0" borderId="16" xfId="0" applyBorder="1"/>
    <xf numFmtId="0" fontId="0" fillId="0" borderId="31" xfId="0" applyBorder="1"/>
    <xf numFmtId="0" fontId="0" fillId="0" borderId="17" xfId="0" applyBorder="1" applyAlignment="1">
      <alignment horizontal="left" indent="2"/>
    </xf>
    <xf numFmtId="0" fontId="0" fillId="0" borderId="0" xfId="0" applyAlignment="1">
      <alignment horizontal="left" indent="2"/>
    </xf>
    <xf numFmtId="0" fontId="0" fillId="0" borderId="17" xfId="0" applyBorder="1"/>
    <xf numFmtId="0" fontId="0" fillId="0" borderId="21" xfId="0" applyBorder="1"/>
    <xf numFmtId="0" fontId="0" fillId="0" borderId="32" xfId="0" applyBorder="1"/>
    <xf numFmtId="0" fontId="0" fillId="0" borderId="0" xfId="0" applyAlignment="1">
      <alignment horizontal="left" indent="3"/>
    </xf>
    <xf numFmtId="0" fontId="0" fillId="2" borderId="0" xfId="0" applyFill="1" applyAlignment="1">
      <alignment horizontal="left" indent="3"/>
    </xf>
    <xf numFmtId="0" fontId="0" fillId="2" borderId="0" xfId="0" applyFill="1" applyAlignment="1">
      <alignment horizontal="left"/>
    </xf>
    <xf numFmtId="0" fontId="0" fillId="2" borderId="15" xfId="0" applyFill="1" applyBorder="1" applyAlignment="1">
      <alignment horizontal="left" indent="3"/>
    </xf>
    <xf numFmtId="0" fontId="0" fillId="2" borderId="15" xfId="0" applyFill="1" applyBorder="1" applyAlignment="1">
      <alignment horizontal="left"/>
    </xf>
    <xf numFmtId="0" fontId="0" fillId="0" borderId="28" xfId="0" applyBorder="1" applyAlignment="1">
      <alignment horizontal="left" indent="3"/>
    </xf>
    <xf numFmtId="0" fontId="0" fillId="0" borderId="28" xfId="0" applyBorder="1" applyAlignment="1">
      <alignment horizontal="left"/>
    </xf>
    <xf numFmtId="0" fontId="0" fillId="0" borderId="33" xfId="0" applyBorder="1" applyAlignment="1">
      <alignment horizontal="left"/>
    </xf>
    <xf numFmtId="0" fontId="0" fillId="0" borderId="31" xfId="0" applyBorder="1" applyAlignment="1">
      <alignment horizontal="left" indent="8"/>
    </xf>
    <xf numFmtId="0" fontId="0" fillId="0" borderId="3" xfId="0" applyBorder="1"/>
    <xf numFmtId="0" fontId="0" fillId="0" borderId="0" xfId="0" applyAlignment="1">
      <alignment horizontal="left" indent="10"/>
    </xf>
    <xf numFmtId="0" fontId="0" fillId="0" borderId="6" xfId="0" applyBorder="1"/>
    <xf numFmtId="0" fontId="0" fillId="0" borderId="1" xfId="0" applyBorder="1" applyAlignment="1">
      <alignment horizontal="left" indent="2"/>
    </xf>
    <xf numFmtId="0" fontId="0" fillId="0" borderId="2" xfId="0" applyBorder="1" applyAlignment="1">
      <alignment horizontal="left" indent="2"/>
    </xf>
    <xf numFmtId="0" fontId="0" fillId="0" borderId="34" xfId="0" applyBorder="1" applyAlignment="1">
      <alignment horizontal="left" indent="10"/>
    </xf>
    <xf numFmtId="0" fontId="0" fillId="0" borderId="9" xfId="0" applyBorder="1" applyAlignment="1">
      <alignment horizontal="left" indent="2"/>
    </xf>
    <xf numFmtId="0" fontId="0" fillId="0" borderId="10" xfId="0" applyBorder="1" applyAlignment="1">
      <alignment horizontal="left" indent="2"/>
    </xf>
    <xf numFmtId="0" fontId="0" fillId="0" borderId="35" xfId="0" applyBorder="1" applyAlignment="1">
      <alignment horizontal="left" indent="10"/>
    </xf>
    <xf numFmtId="0" fontId="0" fillId="0" borderId="0" xfId="0" applyAlignment="1">
      <alignment horizontal="left" indent="8"/>
    </xf>
    <xf numFmtId="0" fontId="0" fillId="0" borderId="1" xfId="0" applyBorder="1"/>
    <xf numFmtId="0" fontId="0" fillId="0" borderId="2" xfId="0" applyBorder="1"/>
    <xf numFmtId="0" fontId="0" fillId="0" borderId="10" xfId="0" applyBorder="1"/>
    <xf numFmtId="0" fontId="0" fillId="0" borderId="22" xfId="0" applyBorder="1"/>
    <xf numFmtId="0" fontId="0" fillId="0" borderId="0" xfId="0" applyAlignment="1">
      <alignment horizontal="left" indent="7"/>
    </xf>
    <xf numFmtId="0" fontId="0" fillId="0" borderId="0" xfId="0" applyAlignment="1">
      <alignment horizontal="left" wrapText="1" indent="11"/>
    </xf>
    <xf numFmtId="0" fontId="0" fillId="4" borderId="0" xfId="0" applyFill="1" applyAlignment="1">
      <alignment horizontal="left" indent="1"/>
    </xf>
    <xf numFmtId="0" fontId="0" fillId="0" borderId="36" xfId="0" applyBorder="1" applyAlignment="1">
      <alignment horizontal="left" indent="4"/>
    </xf>
    <xf numFmtId="0" fontId="0" fillId="0" borderId="35" xfId="0" applyBorder="1" applyAlignment="1">
      <alignment horizontal="left" indent="4"/>
    </xf>
    <xf numFmtId="0" fontId="0" fillId="0" borderId="37" xfId="0" applyBorder="1" applyAlignment="1">
      <alignment horizontal="left" indent="4"/>
    </xf>
    <xf numFmtId="0" fontId="0" fillId="0" borderId="0" xfId="0" applyAlignment="1">
      <alignment horizontal="left" indent="5"/>
    </xf>
    <xf numFmtId="0" fontId="0" fillId="0" borderId="40" xfId="0" applyBorder="1" applyAlignment="1">
      <alignment horizontal="left" vertical="center" wrapText="1" indent="8"/>
    </xf>
    <xf numFmtId="0" fontId="0" fillId="0" borderId="16" xfId="0" applyBorder="1" applyAlignment="1">
      <alignment horizontal="left"/>
    </xf>
    <xf numFmtId="0" fontId="0" fillId="0" borderId="17" xfId="0" applyBorder="1" applyAlignment="1">
      <alignment horizontal="left" indent="1"/>
    </xf>
    <xf numFmtId="0" fontId="0" fillId="0" borderId="17" xfId="0" applyBorder="1" applyAlignment="1">
      <alignment horizontal="left"/>
    </xf>
    <xf numFmtId="0" fontId="0" fillId="0" borderId="21" xfId="0" applyBorder="1" applyAlignment="1">
      <alignment horizontal="left"/>
    </xf>
    <xf numFmtId="0" fontId="0" fillId="4" borderId="0" xfId="0" applyFill="1" applyAlignment="1">
      <alignment horizontal="left"/>
    </xf>
    <xf numFmtId="0" fontId="0" fillId="4" borderId="0" xfId="0" applyFill="1" applyAlignment="1">
      <alignment horizontal="left" indent="3"/>
    </xf>
    <xf numFmtId="0" fontId="0" fillId="0" borderId="31" xfId="0" applyBorder="1" applyAlignment="1">
      <alignment horizontal="left"/>
    </xf>
    <xf numFmtId="0" fontId="0" fillId="0" borderId="1" xfId="0" applyBorder="1" applyAlignment="1">
      <alignment horizontal="left" indent="1"/>
    </xf>
    <xf numFmtId="0" fontId="0" fillId="0" borderId="2" xfId="0" applyBorder="1" applyAlignment="1">
      <alignment horizontal="left" indent="1"/>
    </xf>
    <xf numFmtId="0" fontId="0" fillId="0" borderId="34" xfId="0" applyBorder="1" applyAlignment="1">
      <alignment horizontal="left"/>
    </xf>
    <xf numFmtId="0" fontId="0" fillId="0" borderId="9" xfId="0" applyBorder="1" applyAlignment="1">
      <alignment horizontal="left" indent="1"/>
    </xf>
    <xf numFmtId="0" fontId="0" fillId="0" borderId="35" xfId="0" applyBorder="1" applyAlignment="1">
      <alignment horizontal="left"/>
    </xf>
    <xf numFmtId="0" fontId="0" fillId="0" borderId="1" xfId="0" applyBorder="1" applyAlignment="1">
      <alignment horizontal="left"/>
    </xf>
    <xf numFmtId="0" fontId="0" fillId="0" borderId="2"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32" xfId="0" applyBorder="1" applyAlignment="1">
      <alignment horizontal="left"/>
    </xf>
    <xf numFmtId="0" fontId="0" fillId="0" borderId="3" xfId="0" applyBorder="1" applyAlignment="1">
      <alignment horizontal="left"/>
    </xf>
    <xf numFmtId="0" fontId="0" fillId="0" borderId="6" xfId="0" applyBorder="1" applyAlignment="1">
      <alignment horizontal="left"/>
    </xf>
    <xf numFmtId="0" fontId="0" fillId="0" borderId="22" xfId="0" applyBorder="1" applyAlignment="1">
      <alignment horizontal="left"/>
    </xf>
    <xf numFmtId="0" fontId="0" fillId="3" borderId="0" xfId="0" applyFill="1" applyAlignment="1">
      <alignment horizontal="left" indent="3"/>
    </xf>
    <xf numFmtId="0" fontId="0" fillId="0" borderId="41" xfId="0" applyBorder="1" applyAlignment="1">
      <alignment horizontal="left" wrapText="1" indent="8"/>
    </xf>
    <xf numFmtId="0" fontId="0" fillId="0" borderId="42" xfId="0" applyBorder="1" applyAlignment="1">
      <alignment horizontal="left" vertical="center" wrapText="1" indent="8"/>
    </xf>
    <xf numFmtId="0" fontId="2" fillId="0" borderId="11" xfId="0" applyFont="1" applyBorder="1" applyAlignment="1">
      <alignment horizontal="left" indent="4"/>
    </xf>
    <xf numFmtId="0" fontId="0" fillId="0" borderId="43" xfId="0" applyBorder="1" applyAlignment="1">
      <alignment horizontal="left" vertical="center" wrapText="1" indent="8"/>
    </xf>
    <xf numFmtId="0" fontId="0" fillId="3" borderId="41" xfId="0" applyFill="1" applyBorder="1" applyAlignment="1">
      <alignment horizontal="left" wrapText="1" indent="8"/>
    </xf>
    <xf numFmtId="0" fontId="0" fillId="3" borderId="43" xfId="0" applyFill="1" applyBorder="1" applyAlignment="1">
      <alignment horizontal="left" vertical="center" wrapText="1" indent="8"/>
    </xf>
    <xf numFmtId="0" fontId="0" fillId="0" borderId="16" xfId="0" applyBorder="1" applyAlignment="1">
      <alignment horizontal="left" indent="7"/>
    </xf>
    <xf numFmtId="0" fontId="0" fillId="0" borderId="31" xfId="0" applyBorder="1" applyAlignment="1">
      <alignment horizontal="left" indent="3"/>
    </xf>
    <xf numFmtId="0" fontId="0" fillId="0" borderId="17" xfId="0" applyBorder="1" applyAlignment="1">
      <alignment horizontal="left" indent="7"/>
    </xf>
    <xf numFmtId="0" fontId="0" fillId="0" borderId="1" xfId="0" applyBorder="1" applyAlignment="1">
      <alignment horizontal="left" indent="3"/>
    </xf>
    <xf numFmtId="0" fontId="0" fillId="0" borderId="2" xfId="0" applyBorder="1" applyAlignment="1">
      <alignment horizontal="left" indent="3"/>
    </xf>
    <xf numFmtId="0" fontId="0" fillId="0" borderId="9" xfId="0" applyBorder="1" applyAlignment="1">
      <alignment horizontal="left" indent="3"/>
    </xf>
    <xf numFmtId="0" fontId="0" fillId="0" borderId="10" xfId="0" applyBorder="1" applyAlignment="1">
      <alignment horizontal="left" indent="3"/>
    </xf>
    <xf numFmtId="0" fontId="0" fillId="0" borderId="17" xfId="0" applyBorder="1" applyAlignment="1">
      <alignment horizontal="left" indent="4"/>
    </xf>
    <xf numFmtId="0" fontId="0" fillId="5" borderId="0" xfId="0" applyFill="1" applyAlignment="1">
      <alignment horizontal="left" indent="3"/>
    </xf>
    <xf numFmtId="0" fontId="0" fillId="5" borderId="0" xfId="0" applyFill="1"/>
    <xf numFmtId="0" fontId="0" fillId="0" borderId="15" xfId="0" applyBorder="1"/>
    <xf numFmtId="0" fontId="0" fillId="0" borderId="44" xfId="0" applyBorder="1"/>
    <xf numFmtId="0" fontId="0" fillId="0" borderId="13" xfId="0" applyBorder="1" applyAlignment="1">
      <alignment wrapText="1"/>
    </xf>
    <xf numFmtId="0" fontId="0" fillId="6" borderId="45" xfId="0" applyFill="1" applyBorder="1" applyAlignment="1">
      <alignment wrapText="1"/>
    </xf>
    <xf numFmtId="0" fontId="0" fillId="6" borderId="46" xfId="0" applyFill="1" applyBorder="1" applyAlignment="1">
      <alignment wrapText="1"/>
    </xf>
    <xf numFmtId="0" fontId="0" fillId="6" borderId="47" xfId="0" applyFill="1" applyBorder="1" applyAlignment="1">
      <alignment wrapText="1"/>
    </xf>
    <xf numFmtId="0" fontId="0" fillId="6" borderId="48" xfId="0" applyFill="1" applyBorder="1" applyAlignment="1">
      <alignment wrapText="1"/>
    </xf>
    <xf numFmtId="0" fontId="0" fillId="6" borderId="49" xfId="0" applyFill="1" applyBorder="1" applyAlignment="1">
      <alignment wrapText="1"/>
    </xf>
    <xf numFmtId="0" fontId="0" fillId="6" borderId="50" xfId="0" applyFill="1" applyBorder="1" applyAlignment="1">
      <alignment wrapText="1"/>
    </xf>
    <xf numFmtId="0" fontId="0" fillId="0" borderId="51" xfId="0" applyBorder="1" applyAlignment="1">
      <alignment wrapText="1"/>
    </xf>
    <xf numFmtId="0" fontId="0" fillId="3" borderId="48" xfId="0" applyFill="1" applyBorder="1" applyAlignment="1">
      <alignment wrapText="1"/>
    </xf>
    <xf numFmtId="0" fontId="7" fillId="0" borderId="52" xfId="0" applyFont="1" applyBorder="1" applyAlignment="1">
      <alignment wrapText="1"/>
    </xf>
    <xf numFmtId="0" fontId="0" fillId="3" borderId="48" xfId="0" applyFill="1" applyBorder="1" applyAlignment="1">
      <alignment horizontal="right" wrapText="1"/>
    </xf>
    <xf numFmtId="0" fontId="7" fillId="0" borderId="54" xfId="0" applyFont="1" applyBorder="1" applyAlignment="1">
      <alignment wrapText="1"/>
    </xf>
    <xf numFmtId="0" fontId="7" fillId="0" borderId="56" xfId="0" applyFont="1" applyBorder="1" applyAlignment="1">
      <alignment wrapText="1"/>
    </xf>
    <xf numFmtId="0" fontId="7" fillId="0" borderId="56" xfId="0" applyFont="1" applyBorder="1" applyAlignment="1">
      <alignment horizontal="right" wrapText="1"/>
    </xf>
    <xf numFmtId="0" fontId="7" fillId="0" borderId="41" xfId="0" applyFont="1" applyBorder="1" applyAlignment="1">
      <alignment horizontal="center" wrapText="1"/>
    </xf>
    <xf numFmtId="0" fontId="7" fillId="0" borderId="58" xfId="0" applyFont="1" applyBorder="1" applyAlignment="1">
      <alignment wrapText="1"/>
    </xf>
    <xf numFmtId="0" fontId="7" fillId="0" borderId="58" xfId="0" applyFont="1" applyBorder="1" applyAlignment="1">
      <alignment horizontal="center" wrapText="1"/>
    </xf>
    <xf numFmtId="0" fontId="7" fillId="0" borderId="30" xfId="0" applyFont="1" applyBorder="1" applyAlignment="1">
      <alignment horizontal="right" wrapText="1"/>
    </xf>
    <xf numFmtId="0" fontId="7" fillId="0" borderId="59" xfId="0" applyFont="1" applyBorder="1" applyAlignment="1">
      <alignment horizontal="center" wrapText="1"/>
    </xf>
    <xf numFmtId="0" fontId="0" fillId="0" borderId="48" xfId="0" applyBorder="1" applyAlignment="1">
      <alignment wrapText="1"/>
    </xf>
    <xf numFmtId="0" fontId="0" fillId="6" borderId="46" xfId="0" applyFill="1" applyBorder="1" applyAlignment="1">
      <alignment horizontal="right" wrapText="1"/>
    </xf>
    <xf numFmtId="0" fontId="0" fillId="6" borderId="60" xfId="0" applyFill="1" applyBorder="1" applyAlignment="1">
      <alignment wrapText="1"/>
    </xf>
    <xf numFmtId="0" fontId="0" fillId="0" borderId="61" xfId="0" applyBorder="1" applyAlignment="1">
      <alignment wrapText="1"/>
    </xf>
    <xf numFmtId="0" fontId="0" fillId="6" borderId="48" xfId="0" applyFill="1" applyBorder="1" applyAlignment="1">
      <alignment horizontal="right" wrapText="1"/>
    </xf>
    <xf numFmtId="0" fontId="0" fillId="6" borderId="62" xfId="0" applyFill="1" applyBorder="1" applyAlignment="1">
      <alignment wrapText="1"/>
    </xf>
    <xf numFmtId="0" fontId="0" fillId="6" borderId="50" xfId="0" applyFill="1" applyBorder="1" applyAlignment="1">
      <alignment horizontal="right" wrapText="1"/>
    </xf>
    <xf numFmtId="0" fontId="0" fillId="6" borderId="63" xfId="0" applyFill="1" applyBorder="1" applyAlignment="1">
      <alignment wrapText="1"/>
    </xf>
    <xf numFmtId="0" fontId="7" fillId="0" borderId="71" xfId="0" applyFont="1" applyBorder="1" applyAlignment="1">
      <alignment horizontal="center" vertical="center" wrapText="1"/>
    </xf>
    <xf numFmtId="0" fontId="7" fillId="0" borderId="72" xfId="0" applyFont="1" applyBorder="1" applyAlignment="1">
      <alignment horizontal="center" vertical="center" wrapText="1"/>
    </xf>
    <xf numFmtId="0" fontId="0" fillId="0" borderId="71" xfId="0" applyBorder="1" applyAlignment="1">
      <alignment horizontal="center" vertical="center" wrapText="1"/>
    </xf>
    <xf numFmtId="0" fontId="0" fillId="0" borderId="72" xfId="0" applyBorder="1" applyAlignment="1">
      <alignment horizontal="center" vertical="center" wrapText="1"/>
    </xf>
    <xf numFmtId="0" fontId="7" fillId="0" borderId="73" xfId="0" applyFont="1" applyBorder="1" applyAlignment="1">
      <alignment horizontal="center" vertical="center" wrapText="1"/>
    </xf>
    <xf numFmtId="0" fontId="0" fillId="0" borderId="73" xfId="0" applyBorder="1" applyAlignment="1">
      <alignment horizontal="center" vertical="center" wrapText="1"/>
    </xf>
    <xf numFmtId="0" fontId="0" fillId="0" borderId="74" xfId="0" applyBorder="1" applyAlignment="1">
      <alignment wrapText="1"/>
    </xf>
    <xf numFmtId="0" fontId="0" fillId="0" borderId="0" xfId="0" applyAlignment="1">
      <alignment wrapText="1"/>
    </xf>
    <xf numFmtId="0" fontId="0" fillId="0" borderId="0" xfId="0" applyAlignment="1">
      <alignment horizontal="center" vertical="center" wrapText="1"/>
    </xf>
    <xf numFmtId="0" fontId="8" fillId="0" borderId="0" xfId="0" applyFont="1" applyAlignment="1">
      <alignment horizontal="center" vertical="center" wrapText="1"/>
    </xf>
    <xf numFmtId="0" fontId="0" fillId="6" borderId="71" xfId="0" applyFill="1" applyBorder="1" applyAlignment="1">
      <alignment horizontal="center" vertical="center" wrapText="1"/>
    </xf>
    <xf numFmtId="0" fontId="0" fillId="0" borderId="71" xfId="0" applyBorder="1" applyAlignment="1">
      <alignment horizontal="right" wrapText="1"/>
    </xf>
    <xf numFmtId="0" fontId="0" fillId="6" borderId="80" xfId="0" applyFill="1" applyBorder="1" applyAlignment="1">
      <alignment horizontal="right" wrapText="1"/>
    </xf>
    <xf numFmtId="0" fontId="0" fillId="0" borderId="0" xfId="0" applyAlignment="1">
      <alignment horizontal="right" wrapText="1"/>
    </xf>
    <xf numFmtId="0" fontId="7" fillId="0" borderId="53" xfId="0" applyFont="1" applyBorder="1" applyAlignment="1">
      <alignment horizontal="center" vertical="center" wrapText="1"/>
    </xf>
    <xf numFmtId="0" fontId="7" fillId="0" borderId="55"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8" xfId="0" applyFont="1" applyBorder="1" applyAlignment="1">
      <alignment horizontal="center" vertical="center" wrapText="1"/>
    </xf>
    <xf numFmtId="0" fontId="2" fillId="0" borderId="64" xfId="0" applyFont="1" applyBorder="1" applyAlignment="1">
      <alignment horizontal="center" vertical="center" wrapText="1"/>
    </xf>
    <xf numFmtId="0" fontId="2" fillId="0" borderId="67" xfId="0" applyFont="1" applyBorder="1" applyAlignment="1">
      <alignment horizontal="center" vertical="center" wrapText="1"/>
    </xf>
    <xf numFmtId="0" fontId="2" fillId="0" borderId="69" xfId="0" applyFont="1" applyBorder="1" applyAlignment="1">
      <alignment horizontal="center" vertical="center" wrapText="1"/>
    </xf>
    <xf numFmtId="0" fontId="2" fillId="0" borderId="65"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70" xfId="0" applyFont="1" applyBorder="1" applyAlignment="1">
      <alignment horizontal="center" vertical="center" wrapText="1"/>
    </xf>
    <xf numFmtId="0" fontId="2" fillId="6" borderId="65" xfId="0" applyFont="1" applyFill="1" applyBorder="1" applyAlignment="1">
      <alignment horizontal="center" vertical="center" wrapText="1"/>
    </xf>
    <xf numFmtId="0" fontId="2" fillId="6" borderId="51" xfId="0" applyFont="1" applyFill="1" applyBorder="1" applyAlignment="1">
      <alignment horizontal="center" vertical="center" wrapText="1"/>
    </xf>
    <xf numFmtId="0" fontId="2" fillId="6" borderId="70" xfId="0" applyFont="1" applyFill="1" applyBorder="1" applyAlignment="1">
      <alignment horizontal="center" vertical="center" wrapText="1"/>
    </xf>
    <xf numFmtId="0" fontId="2" fillId="0" borderId="75" xfId="0" applyFont="1" applyBorder="1" applyAlignment="1">
      <alignment horizontal="center" vertical="center" wrapText="1"/>
    </xf>
    <xf numFmtId="0" fontId="2" fillId="0" borderId="77" xfId="0" applyFont="1" applyBorder="1" applyAlignment="1">
      <alignment horizontal="center" vertical="center" wrapText="1"/>
    </xf>
    <xf numFmtId="0" fontId="2" fillId="0" borderId="79"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66" xfId="0" applyFont="1" applyBorder="1" applyAlignment="1">
      <alignment horizontal="center" vertical="center" wrapText="1"/>
    </xf>
    <xf numFmtId="0" fontId="2" fillId="0" borderId="68" xfId="0" applyFont="1" applyBorder="1" applyAlignment="1">
      <alignment horizontal="center" vertical="center" wrapText="1"/>
    </xf>
    <xf numFmtId="0" fontId="2" fillId="6" borderId="76" xfId="0" applyFont="1" applyFill="1" applyBorder="1" applyAlignment="1">
      <alignment horizontal="center" vertical="center" wrapText="1"/>
    </xf>
    <xf numFmtId="0" fontId="2" fillId="6" borderId="78" xfId="0" applyFont="1" applyFill="1" applyBorder="1" applyAlignment="1">
      <alignment horizontal="center" vertical="center" wrapText="1"/>
    </xf>
    <xf numFmtId="0" fontId="2" fillId="6" borderId="42" xfId="0" applyFont="1" applyFill="1" applyBorder="1" applyAlignment="1">
      <alignment horizontal="center" vertical="center" wrapText="1"/>
    </xf>
    <xf numFmtId="0" fontId="0" fillId="0" borderId="26" xfId="0" applyBorder="1" applyAlignment="1">
      <alignment horizontal="left" indent="4"/>
    </xf>
    <xf numFmtId="0" fontId="0" fillId="0" borderId="25" xfId="0" applyBorder="1" applyAlignment="1">
      <alignment horizontal="left" indent="4"/>
    </xf>
    <xf numFmtId="0" fontId="0" fillId="0" borderId="16" xfId="0" applyBorder="1" applyAlignment="1">
      <alignment horizontal="left" indent="4"/>
    </xf>
    <xf numFmtId="0" fontId="0" fillId="0" borderId="31" xfId="0" applyBorder="1" applyAlignment="1">
      <alignment horizontal="left" indent="4"/>
    </xf>
    <xf numFmtId="0" fontId="0" fillId="0" borderId="0" xfId="0" applyAlignment="1">
      <alignment horizontal="left" indent="4"/>
    </xf>
    <xf numFmtId="0" fontId="0" fillId="5" borderId="15" xfId="0" applyFill="1" applyBorder="1" applyAlignment="1">
      <alignment horizontal="left" indent="1"/>
    </xf>
    <xf numFmtId="0" fontId="0" fillId="5" borderId="18" xfId="0" applyFill="1" applyBorder="1" applyAlignment="1">
      <alignment horizontal="left" indent="1"/>
    </xf>
    <xf numFmtId="0" fontId="2" fillId="5" borderId="38" xfId="0" applyFont="1" applyFill="1" applyBorder="1" applyAlignment="1">
      <alignment horizontal="left" vertical="center" wrapText="1" indent="1"/>
    </xf>
    <xf numFmtId="0" fontId="2" fillId="5" borderId="18" xfId="0" applyFont="1" applyFill="1" applyBorder="1" applyAlignment="1">
      <alignment horizontal="left" vertical="center" wrapText="1" indent="1"/>
    </xf>
    <xf numFmtId="0" fontId="2" fillId="5" borderId="39" xfId="0" applyFont="1" applyFill="1" applyBorder="1" applyAlignment="1">
      <alignment horizontal="left" vertical="center" wrapText="1" indent="1"/>
    </xf>
    <xf numFmtId="0" fontId="2" fillId="5" borderId="15" xfId="0" applyFont="1" applyFill="1" applyBorder="1" applyAlignment="1">
      <alignment horizontal="left" vertical="center" wrapText="1" indent="1"/>
    </xf>
    <xf numFmtId="0" fontId="2" fillId="5" borderId="20" xfId="0" applyFont="1" applyFill="1" applyBorder="1" applyAlignment="1">
      <alignment horizontal="left" vertical="center" wrapText="1" indent="1"/>
    </xf>
    <xf numFmtId="0" fontId="3" fillId="5" borderId="15" xfId="0" applyFont="1" applyFill="1" applyBorder="1" applyAlignment="1">
      <alignment horizontal="left" indent="1"/>
    </xf>
    <xf numFmtId="0" fontId="0" fillId="0" borderId="0" xfId="0" applyAlignment="1">
      <alignment horizontal="center"/>
    </xf>
    <xf numFmtId="0" fontId="0" fillId="5" borderId="17" xfId="0" applyFill="1" applyBorder="1" applyAlignment="1">
      <alignment horizontal="center"/>
    </xf>
    <xf numFmtId="0" fontId="0" fillId="5" borderId="0" xfId="0" applyFill="1" applyAlignment="1">
      <alignment horizontal="center"/>
    </xf>
    <xf numFmtId="0" fontId="2" fillId="5" borderId="16" xfId="0" applyFont="1" applyFill="1" applyBorder="1" applyAlignment="1">
      <alignment horizontal="left" indent="1"/>
    </xf>
    <xf numFmtId="0" fontId="0" fillId="5" borderId="3" xfId="0" applyFill="1" applyBorder="1" applyAlignment="1">
      <alignment horizontal="left" indent="1"/>
    </xf>
    <xf numFmtId="0" fontId="0" fillId="5" borderId="17" xfId="0" applyFill="1" applyBorder="1" applyAlignment="1">
      <alignment horizontal="left" indent="1"/>
    </xf>
    <xf numFmtId="0" fontId="0" fillId="5" borderId="6" xfId="0" applyFill="1" applyBorder="1" applyAlignment="1">
      <alignment horizontal="left" indent="1"/>
    </xf>
    <xf numFmtId="0" fontId="0" fillId="5" borderId="21" xfId="0" applyFill="1" applyBorder="1" applyAlignment="1">
      <alignment horizontal="left" indent="1"/>
    </xf>
    <xf numFmtId="0" fontId="0" fillId="5" borderId="22" xfId="0" applyFill="1" applyBorder="1" applyAlignment="1">
      <alignment horizontal="left" indent="1"/>
    </xf>
    <xf numFmtId="0" fontId="6" fillId="0" borderId="17" xfId="0" applyFont="1" applyBorder="1" applyAlignment="1">
      <alignment horizontal="center"/>
    </xf>
    <xf numFmtId="0" fontId="0" fillId="0" borderId="17" xfId="0" applyBorder="1" applyAlignment="1">
      <alignment horizontal="center"/>
    </xf>
    <xf numFmtId="0" fontId="0" fillId="4" borderId="34" xfId="0" applyFill="1" applyBorder="1" applyAlignment="1">
      <alignment horizontal="left"/>
    </xf>
    <xf numFmtId="0" fontId="0" fillId="4" borderId="36" xfId="0" applyFill="1" applyBorder="1" applyAlignment="1">
      <alignment horizontal="left"/>
    </xf>
    <xf numFmtId="0" fontId="0" fillId="4" borderId="15" xfId="0" applyFill="1" applyBorder="1" applyAlignment="1">
      <alignment horizontal="left" indent="1"/>
    </xf>
    <xf numFmtId="0" fontId="0" fillId="4" borderId="18" xfId="0" applyFill="1" applyBorder="1" applyAlignment="1">
      <alignment horizontal="left" indent="1"/>
    </xf>
    <xf numFmtId="0" fontId="2" fillId="4" borderId="38" xfId="0" applyFont="1" applyFill="1" applyBorder="1" applyAlignment="1">
      <alignment horizontal="left" vertical="center" wrapText="1" indent="1"/>
    </xf>
    <xf numFmtId="0" fontId="2" fillId="4" borderId="18" xfId="0" applyFont="1" applyFill="1" applyBorder="1" applyAlignment="1">
      <alignment horizontal="left" vertical="center" wrapText="1" indent="1"/>
    </xf>
    <xf numFmtId="0" fontId="2" fillId="4" borderId="39" xfId="0" applyFont="1" applyFill="1" applyBorder="1" applyAlignment="1">
      <alignment horizontal="left" vertical="center" wrapText="1" indent="1"/>
    </xf>
    <xf numFmtId="0" fontId="2" fillId="4" borderId="15" xfId="0" applyFont="1" applyFill="1" applyBorder="1" applyAlignment="1">
      <alignment horizontal="left" vertical="center" wrapText="1" indent="1"/>
    </xf>
    <xf numFmtId="0" fontId="3" fillId="4" borderId="15" xfId="0" applyFont="1" applyFill="1" applyBorder="1" applyAlignment="1">
      <alignment horizontal="left" indent="1"/>
    </xf>
    <xf numFmtId="0" fontId="2" fillId="4" borderId="16" xfId="0" applyFont="1" applyFill="1" applyBorder="1" applyAlignment="1">
      <alignment horizontal="left" indent="1"/>
    </xf>
    <xf numFmtId="0" fontId="0" fillId="4" borderId="3" xfId="0" applyFill="1" applyBorder="1" applyAlignment="1">
      <alignment horizontal="left" indent="1"/>
    </xf>
    <xf numFmtId="0" fontId="0" fillId="4" borderId="17" xfId="0" applyFill="1" applyBorder="1" applyAlignment="1">
      <alignment horizontal="left" indent="1"/>
    </xf>
    <xf numFmtId="0" fontId="0" fillId="4" borderId="6" xfId="0" applyFill="1" applyBorder="1" applyAlignment="1">
      <alignment horizontal="left" indent="1"/>
    </xf>
    <xf numFmtId="0" fontId="0" fillId="4" borderId="21" xfId="0" applyFill="1" applyBorder="1" applyAlignment="1">
      <alignment horizontal="left" indent="1"/>
    </xf>
    <xf numFmtId="0" fontId="0" fillId="4" borderId="22" xfId="0" applyFill="1" applyBorder="1" applyAlignment="1">
      <alignment horizontal="left" indent="1"/>
    </xf>
    <xf numFmtId="0" fontId="5" fillId="4" borderId="17" xfId="0" applyFont="1" applyFill="1" applyBorder="1" applyAlignment="1">
      <alignment horizontal="left"/>
    </xf>
    <xf numFmtId="0" fontId="0" fillId="4" borderId="0" xfId="0" applyFill="1" applyAlignment="1">
      <alignment horizontal="left"/>
    </xf>
    <xf numFmtId="0" fontId="0" fillId="4" borderId="17" xfId="0" applyFill="1" applyBorder="1" applyAlignment="1">
      <alignment horizontal="left"/>
    </xf>
    <xf numFmtId="0" fontId="1" fillId="0" borderId="0" xfId="0" applyFont="1" applyAlignment="1">
      <alignment horizontal="left"/>
    </xf>
    <xf numFmtId="0" fontId="0" fillId="0" borderId="0" xfId="0" applyAlignment="1">
      <alignment horizontal="left"/>
    </xf>
    <xf numFmtId="0" fontId="0" fillId="0" borderId="27" xfId="0" applyBorder="1" applyAlignment="1">
      <alignment horizontal="left" indent="4"/>
    </xf>
    <xf numFmtId="0" fontId="0" fillId="0" borderId="28" xfId="0" applyBorder="1" applyAlignment="1">
      <alignment horizontal="left" indent="4"/>
    </xf>
    <xf numFmtId="0" fontId="0" fillId="2" borderId="1" xfId="0" applyFill="1" applyBorder="1" applyAlignment="1">
      <alignment horizontal="center"/>
    </xf>
    <xf numFmtId="0" fontId="0" fillId="2" borderId="4" xfId="0" applyFill="1" applyBorder="1" applyAlignment="1">
      <alignment horizontal="center"/>
    </xf>
    <xf numFmtId="0" fontId="0" fillId="2" borderId="2" xfId="0" applyFill="1" applyBorder="1" applyAlignment="1">
      <alignment horizontal="center"/>
    </xf>
    <xf numFmtId="0" fontId="0" fillId="2" borderId="5" xfId="0" applyFill="1" applyBorder="1" applyAlignment="1">
      <alignment horizontal="center"/>
    </xf>
    <xf numFmtId="0" fontId="0" fillId="2" borderId="3" xfId="0" applyFill="1" applyBorder="1" applyAlignment="1">
      <alignment horizontal="left" indent="1"/>
    </xf>
    <xf numFmtId="0" fontId="0" fillId="2" borderId="6" xfId="0" applyFill="1" applyBorder="1" applyAlignment="1">
      <alignment horizontal="left" indent="1"/>
    </xf>
    <xf numFmtId="0" fontId="2" fillId="2" borderId="14" xfId="0" applyFont="1" applyFill="1" applyBorder="1" applyAlignment="1">
      <alignment horizontal="left" vertical="center" wrapText="1" indent="1"/>
    </xf>
    <xf numFmtId="0" fontId="2" fillId="2" borderId="17" xfId="0" applyFont="1" applyFill="1" applyBorder="1" applyAlignment="1">
      <alignment horizontal="left" vertical="center" wrapText="1" indent="1"/>
    </xf>
    <xf numFmtId="0" fontId="2" fillId="2" borderId="19" xfId="0" applyFont="1" applyFill="1" applyBorder="1" applyAlignment="1">
      <alignment horizontal="left" vertical="center" wrapText="1" indent="1"/>
    </xf>
    <xf numFmtId="0" fontId="2" fillId="2" borderId="15" xfId="0" applyFont="1" applyFill="1" applyBorder="1" applyAlignment="1">
      <alignment horizontal="left" vertical="center" wrapText="1" indent="1"/>
    </xf>
    <xf numFmtId="0" fontId="2" fillId="2" borderId="18" xfId="0" applyFont="1" applyFill="1" applyBorder="1" applyAlignment="1">
      <alignment horizontal="left" vertical="center" wrapText="1" indent="1"/>
    </xf>
    <xf numFmtId="0" fontId="2" fillId="2" borderId="20" xfId="0" applyFont="1" applyFill="1" applyBorder="1" applyAlignment="1">
      <alignment horizontal="left" vertical="center" wrapText="1" indent="1"/>
    </xf>
    <xf numFmtId="0" fontId="3" fillId="2" borderId="3" xfId="0" applyFont="1" applyFill="1" applyBorder="1" applyAlignment="1">
      <alignment horizontal="left" indent="1"/>
    </xf>
    <xf numFmtId="0" fontId="1" fillId="0" borderId="0" xfId="0" applyFont="1" applyAlignment="1">
      <alignment horizontal="center"/>
    </xf>
    <xf numFmtId="0" fontId="2" fillId="2" borderId="16" xfId="0" applyFont="1" applyFill="1" applyBorder="1" applyAlignment="1">
      <alignment horizontal="left" indent="1"/>
    </xf>
    <xf numFmtId="0" fontId="0" fillId="2" borderId="17" xfId="0" applyFill="1" applyBorder="1" applyAlignment="1">
      <alignment horizontal="left" indent="1"/>
    </xf>
    <xf numFmtId="0" fontId="0" fillId="2" borderId="21" xfId="0" applyFill="1" applyBorder="1" applyAlignment="1">
      <alignment horizontal="left" indent="1"/>
    </xf>
    <xf numFmtId="0" fontId="0" fillId="2" borderId="22" xfId="0" applyFill="1" applyBorder="1" applyAlignment="1">
      <alignment horizontal="left" indent="1"/>
    </xf>
    <xf numFmtId="0" fontId="4" fillId="2" borderId="16" xfId="0" applyFont="1" applyFill="1" applyBorder="1" applyAlignment="1">
      <alignment horizontal="left"/>
    </xf>
    <xf numFmtId="0" fontId="0" fillId="2" borderId="31" xfId="0" applyFill="1" applyBorder="1" applyAlignment="1">
      <alignment horizontal="left"/>
    </xf>
    <xf numFmtId="0" fontId="0" fillId="2" borderId="3" xfId="0" applyFill="1" applyBorder="1" applyAlignment="1">
      <alignment horizontal="left"/>
    </xf>
    <xf numFmtId="0" fontId="0" fillId="2" borderId="17" xfId="0" applyFill="1" applyBorder="1" applyAlignment="1">
      <alignment horizontal="left"/>
    </xf>
    <xf numFmtId="0" fontId="0" fillId="2" borderId="0" xfId="0" applyFill="1" applyAlignment="1">
      <alignment horizontal="left"/>
    </xf>
    <xf numFmtId="0" fontId="0" fillId="2" borderId="6"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linear</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5.3865746288672599E-2"/>
                  <c:y val="-0.64477677333352001"/>
                </c:manualLayout>
              </c:layout>
              <c:tx>
                <c:rich>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r>
                      <a:rPr lang="en-US" sz="2400" baseline="0"/>
                      <a:t>y = -875.68x + 180.27</a:t>
                    </a:r>
                    <a:br>
                      <a:rPr lang="en-US" sz="2400" baseline="0"/>
                    </a:br>
                    <a:r>
                      <a:rPr lang="en-US" sz="2400" baseline="0"/>
                      <a:t>R² = 0.6929</a:t>
                    </a:r>
                    <a:endParaRPr lang="en-US" sz="2400"/>
                  </a:p>
                </c:rich>
              </c:tx>
              <c:numFmt formatCode="General"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trendlineLbl>
          </c:trendline>
          <c:xVal>
            <c:numRef>
              <c:f>linear!$J$23:$J$38</c:f>
              <c:numCache>
                <c:formatCode>General</c:formatCode>
                <c:ptCount val="16"/>
                <c:pt idx="0">
                  <c:v>0.1054075361</c:v>
                </c:pt>
                <c:pt idx="1">
                  <c:v>0.14193490010000001</c:v>
                </c:pt>
                <c:pt idx="2">
                  <c:v>0.1325421493</c:v>
                </c:pt>
                <c:pt idx="3">
                  <c:v>7.5333339730000004E-2</c:v>
                </c:pt>
                <c:pt idx="4">
                  <c:v>8.1117680669999997E-2</c:v>
                </c:pt>
                <c:pt idx="5">
                  <c:v>0.14506581700000001</c:v>
                </c:pt>
                <c:pt idx="6">
                  <c:v>0.12628031549999999</c:v>
                </c:pt>
                <c:pt idx="7">
                  <c:v>9.3927507399999999E-2</c:v>
                </c:pt>
                <c:pt idx="8">
                  <c:v>0.13880398320000001</c:v>
                </c:pt>
                <c:pt idx="9">
                  <c:v>0.13050705330000001</c:v>
                </c:pt>
                <c:pt idx="10">
                  <c:v>0.1774186251</c:v>
                </c:pt>
                <c:pt idx="11">
                  <c:v>0.16552114079999999</c:v>
                </c:pt>
                <c:pt idx="12">
                  <c:v>0.16597586919999999</c:v>
                </c:pt>
                <c:pt idx="13">
                  <c:v>0.161277009</c:v>
                </c:pt>
                <c:pt idx="14">
                  <c:v>0.1884394526</c:v>
                </c:pt>
                <c:pt idx="15">
                  <c:v>0.2387324146</c:v>
                </c:pt>
              </c:numCache>
            </c:numRef>
          </c:xVal>
          <c:yVal>
            <c:numRef>
              <c:f>linear!$I$23:$I$38</c:f>
              <c:numCache>
                <c:formatCode>General</c:formatCode>
                <c:ptCount val="16"/>
                <c:pt idx="0">
                  <c:v>63.273294659999998</c:v>
                </c:pt>
                <c:pt idx="1">
                  <c:v>38.258271190000002</c:v>
                </c:pt>
                <c:pt idx="2">
                  <c:v>42.672687099999997</c:v>
                </c:pt>
                <c:pt idx="3">
                  <c:v>164.5596152</c:v>
                </c:pt>
                <c:pt idx="4">
                  <c:v>152.01254779999999</c:v>
                </c:pt>
                <c:pt idx="5">
                  <c:v>34.211723280000001</c:v>
                </c:pt>
                <c:pt idx="6">
                  <c:v>73.573598439999998</c:v>
                </c:pt>
                <c:pt idx="7">
                  <c:v>80.930958290000007</c:v>
                </c:pt>
                <c:pt idx="8">
                  <c:v>36.786799219999999</c:v>
                </c:pt>
                <c:pt idx="9">
                  <c:v>62.083854819999999</c:v>
                </c:pt>
                <c:pt idx="10">
                  <c:v>26.486495439999999</c:v>
                </c:pt>
                <c:pt idx="11">
                  <c:v>34.407919540000002</c:v>
                </c:pt>
                <c:pt idx="12">
                  <c:v>27.248507709999998</c:v>
                </c:pt>
                <c:pt idx="13">
                  <c:v>27.675935280000001</c:v>
                </c:pt>
                <c:pt idx="14">
                  <c:v>18.84955592</c:v>
                </c:pt>
                <c:pt idx="15">
                  <c:v>14.95996502</c:v>
                </c:pt>
              </c:numCache>
            </c:numRef>
          </c:yVal>
          <c:smooth val="0"/>
          <c:extLst>
            <c:ext xmlns:c16="http://schemas.microsoft.com/office/drawing/2014/chart" uri="{C3380CC4-5D6E-409C-BE32-E72D297353CC}">
              <c16:uniqueId val="{00000001-C38F-4E77-9CE0-9F0F9DEE9E22}"/>
            </c:ext>
          </c:extLst>
        </c:ser>
        <c:dLbls>
          <c:showLegendKey val="0"/>
          <c:showVal val="0"/>
          <c:showCatName val="0"/>
          <c:showSerName val="0"/>
          <c:showPercent val="0"/>
          <c:showBubbleSize val="0"/>
        </c:dLbls>
        <c:axId val="370290080"/>
        <c:axId val="370289600"/>
      </c:scatterChart>
      <c:valAx>
        <c:axId val="370290080"/>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l-GR" sz="1600" b="1"/>
                  <a:t>φ</a:t>
                </a:r>
                <a:endParaRPr lang="en-US" sz="1600" b="1"/>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70289600"/>
        <c:crosses val="autoZero"/>
        <c:crossBetween val="midCat"/>
      </c:valAx>
      <c:valAx>
        <c:axId val="370289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sz="2400"/>
                  <a:t>F</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70290080"/>
        <c:crosses val="autoZero"/>
        <c:crossBetween val="midCat"/>
      </c:valAx>
      <c:spPr>
        <a:noFill/>
        <a:ln>
          <a:noFill/>
        </a:ln>
        <a:effectLst/>
      </c:spPr>
    </c:plotArea>
    <c:plotVisOnly val="1"/>
    <c:dispBlanksAs val="gap"/>
    <c:showDLblsOverMax val="0"/>
    <c:extLst>
      <c:ext uri="{0b15fc19-7d7d-44ad-8c2d-2c3a37ce22c3}">
        <chartProps xmlns="https://web.wps.cn/et/2018/main" chartId="{fa62320c-8443-439e-8489-bbfecb19379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800"/>
              <a:t>exponential</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1"/>
            <c:dispEq val="1"/>
            <c:trendlineLbl>
              <c:layout>
                <c:manualLayout>
                  <c:x val="6.98932533714893E-2"/>
                  <c:y val="-0.42860815827291998"/>
                </c:manualLayout>
              </c:layout>
              <c:tx>
                <c:rich>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r>
                      <a:rPr lang="en-US" sz="1800" b="0" baseline="0"/>
                      <a:t>y = 387.99e</a:t>
                    </a:r>
                    <a:r>
                      <a:rPr lang="en-US" sz="1800" b="0" baseline="30000"/>
                      <a:t>-15.28x</a:t>
                    </a:r>
                    <a:br>
                      <a:rPr lang="en-US" sz="1800" b="0" baseline="0"/>
                    </a:br>
                    <a:r>
                      <a:rPr lang="en-US" sz="1800" b="0" baseline="0"/>
                      <a:t>R² = 0.9032</a:t>
                    </a:r>
                    <a:endParaRPr lang="en-US" sz="1800" b="0"/>
                  </a:p>
                </c:rich>
              </c:tx>
              <c:numFmt formatCode="General"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trendlineLbl>
          </c:trendline>
          <c:xVal>
            <c:numRef>
              <c:f>exponential!$J$14:$J$29</c:f>
              <c:numCache>
                <c:formatCode>General</c:formatCode>
                <c:ptCount val="16"/>
                <c:pt idx="0">
                  <c:v>0.1054075361</c:v>
                </c:pt>
                <c:pt idx="1">
                  <c:v>0.14193490010000001</c:v>
                </c:pt>
                <c:pt idx="2">
                  <c:v>0.1325421493</c:v>
                </c:pt>
                <c:pt idx="3">
                  <c:v>7.5333339730000004E-2</c:v>
                </c:pt>
                <c:pt idx="4">
                  <c:v>8.1117680669999997E-2</c:v>
                </c:pt>
                <c:pt idx="5">
                  <c:v>0.14506581700000001</c:v>
                </c:pt>
                <c:pt idx="6">
                  <c:v>0.12628031549999999</c:v>
                </c:pt>
                <c:pt idx="7">
                  <c:v>9.3927507399999999E-2</c:v>
                </c:pt>
                <c:pt idx="8">
                  <c:v>0.13880398320000001</c:v>
                </c:pt>
                <c:pt idx="9">
                  <c:v>0.13050705330000001</c:v>
                </c:pt>
                <c:pt idx="10">
                  <c:v>0.1774186251</c:v>
                </c:pt>
                <c:pt idx="11">
                  <c:v>0.16552114079999999</c:v>
                </c:pt>
                <c:pt idx="12">
                  <c:v>0.16597586919999999</c:v>
                </c:pt>
                <c:pt idx="13">
                  <c:v>0.161277009</c:v>
                </c:pt>
                <c:pt idx="14">
                  <c:v>0.1884394526</c:v>
                </c:pt>
                <c:pt idx="15">
                  <c:v>0.2387324146</c:v>
                </c:pt>
              </c:numCache>
            </c:numRef>
          </c:xVal>
          <c:yVal>
            <c:numRef>
              <c:f>exponential!$I$14:$I$29</c:f>
              <c:numCache>
                <c:formatCode>General</c:formatCode>
                <c:ptCount val="16"/>
                <c:pt idx="0">
                  <c:v>63.273294659999998</c:v>
                </c:pt>
                <c:pt idx="1">
                  <c:v>38.258271190000002</c:v>
                </c:pt>
                <c:pt idx="2">
                  <c:v>42.672687099999997</c:v>
                </c:pt>
                <c:pt idx="3">
                  <c:v>164.5596152</c:v>
                </c:pt>
                <c:pt idx="4">
                  <c:v>152.01254779999999</c:v>
                </c:pt>
                <c:pt idx="5">
                  <c:v>34.211723280000001</c:v>
                </c:pt>
                <c:pt idx="6">
                  <c:v>73.573598439999998</c:v>
                </c:pt>
                <c:pt idx="7">
                  <c:v>80.930958290000007</c:v>
                </c:pt>
                <c:pt idx="8">
                  <c:v>36.786799219999999</c:v>
                </c:pt>
                <c:pt idx="9">
                  <c:v>62.083854819999999</c:v>
                </c:pt>
                <c:pt idx="10">
                  <c:v>26.486495439999999</c:v>
                </c:pt>
                <c:pt idx="11">
                  <c:v>34.407919540000002</c:v>
                </c:pt>
                <c:pt idx="12">
                  <c:v>27.248507709999998</c:v>
                </c:pt>
                <c:pt idx="13">
                  <c:v>27.675935280000001</c:v>
                </c:pt>
                <c:pt idx="14">
                  <c:v>18.84955592</c:v>
                </c:pt>
                <c:pt idx="15">
                  <c:v>14.95996502</c:v>
                </c:pt>
              </c:numCache>
            </c:numRef>
          </c:yVal>
          <c:smooth val="0"/>
          <c:extLst>
            <c:ext xmlns:c16="http://schemas.microsoft.com/office/drawing/2014/chart" uri="{C3380CC4-5D6E-409C-BE32-E72D297353CC}">
              <c16:uniqueId val="{00000002-F87F-417A-9075-F1C98E068222}"/>
            </c:ext>
          </c:extLst>
        </c:ser>
        <c:dLbls>
          <c:showLegendKey val="0"/>
          <c:showVal val="0"/>
          <c:showCatName val="0"/>
          <c:showSerName val="0"/>
          <c:showPercent val="0"/>
          <c:showBubbleSize val="0"/>
        </c:dLbls>
        <c:axId val="855877967"/>
        <c:axId val="855879887"/>
      </c:scatterChart>
      <c:valAx>
        <c:axId val="855877967"/>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l-GR" sz="2400"/>
                  <a:t>φ</a:t>
                </a:r>
                <a:endParaRPr lang="en-US" sz="2400"/>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855879887"/>
        <c:crosses val="autoZero"/>
        <c:crossBetween val="midCat"/>
      </c:valAx>
      <c:valAx>
        <c:axId val="85587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sz="2800"/>
                  <a:t>F</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855877967"/>
        <c:crosses val="autoZero"/>
        <c:crossBetween val="midCat"/>
      </c:valAx>
      <c:spPr>
        <a:noFill/>
        <a:ln>
          <a:noFill/>
        </a:ln>
        <a:effectLst/>
      </c:spPr>
    </c:plotArea>
    <c:plotVisOnly val="1"/>
    <c:dispBlanksAs val="gap"/>
    <c:showDLblsOverMax val="0"/>
    <c:extLst>
      <c:ext uri="{0b15fc19-7d7d-44ad-8c2d-2c3a37ce22c3}">
        <chartProps xmlns="https://web.wps.cn/et/2018/main" chartId="{d6376cd3-c6f5-4dcc-bbbf-009bb5acb68f}"/>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power</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5.7014216972878402E-2"/>
                  <c:y val="-0.49922098279381699"/>
                </c:manualLayout>
              </c:layout>
              <c:tx>
                <c:rich>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r>
                      <a:rPr lang="en-US" sz="1800" baseline="0"/>
                      <a:t>y = 0.629x</a:t>
                    </a:r>
                    <a:r>
                      <a:rPr lang="en-US" sz="1800" baseline="30000"/>
                      <a:t>-2.133</a:t>
                    </a:r>
                    <a:br>
                      <a:rPr lang="en-US" sz="1800" baseline="0"/>
                    </a:br>
                    <a:r>
                      <a:rPr lang="en-US" sz="1800" baseline="0"/>
                      <a:t>R² = 0.9469</a:t>
                    </a:r>
                    <a:endParaRPr lang="en-US" sz="1800"/>
                  </a:p>
                </c:rich>
              </c:tx>
              <c:numFmt formatCode="General"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trendlineLbl>
          </c:trendline>
          <c:xVal>
            <c:numRef>
              <c:f>power!$J$15:$J$30</c:f>
              <c:numCache>
                <c:formatCode>General</c:formatCode>
                <c:ptCount val="16"/>
                <c:pt idx="0">
                  <c:v>0.1054075361</c:v>
                </c:pt>
                <c:pt idx="1">
                  <c:v>0.14193490010000001</c:v>
                </c:pt>
                <c:pt idx="2">
                  <c:v>0.1325421493</c:v>
                </c:pt>
                <c:pt idx="3">
                  <c:v>7.5333339730000004E-2</c:v>
                </c:pt>
                <c:pt idx="4">
                  <c:v>8.1117680669999997E-2</c:v>
                </c:pt>
                <c:pt idx="5">
                  <c:v>0.14506581700000001</c:v>
                </c:pt>
                <c:pt idx="6">
                  <c:v>0.12628031549999999</c:v>
                </c:pt>
                <c:pt idx="7">
                  <c:v>9.3927507399999999E-2</c:v>
                </c:pt>
                <c:pt idx="8">
                  <c:v>0.13880398320000001</c:v>
                </c:pt>
                <c:pt idx="9">
                  <c:v>0.13050705330000001</c:v>
                </c:pt>
                <c:pt idx="10">
                  <c:v>0.1774186251</c:v>
                </c:pt>
                <c:pt idx="11">
                  <c:v>0.16552114079999999</c:v>
                </c:pt>
                <c:pt idx="12">
                  <c:v>0.16597586919999999</c:v>
                </c:pt>
                <c:pt idx="13">
                  <c:v>0.161277009</c:v>
                </c:pt>
                <c:pt idx="14">
                  <c:v>0.1884394526</c:v>
                </c:pt>
                <c:pt idx="15">
                  <c:v>0.2387324146</c:v>
                </c:pt>
              </c:numCache>
            </c:numRef>
          </c:xVal>
          <c:yVal>
            <c:numRef>
              <c:f>power!$I$15:$I$30</c:f>
              <c:numCache>
                <c:formatCode>General</c:formatCode>
                <c:ptCount val="16"/>
                <c:pt idx="0">
                  <c:v>63.273294659999998</c:v>
                </c:pt>
                <c:pt idx="1">
                  <c:v>38.258271190000002</c:v>
                </c:pt>
                <c:pt idx="2">
                  <c:v>42.672687099999997</c:v>
                </c:pt>
                <c:pt idx="3">
                  <c:v>164.5596152</c:v>
                </c:pt>
                <c:pt idx="4">
                  <c:v>152.01254779999999</c:v>
                </c:pt>
                <c:pt idx="5">
                  <c:v>34.211723280000001</c:v>
                </c:pt>
                <c:pt idx="6">
                  <c:v>73.573598439999998</c:v>
                </c:pt>
                <c:pt idx="7">
                  <c:v>80.930958290000007</c:v>
                </c:pt>
                <c:pt idx="8">
                  <c:v>36.786799219999999</c:v>
                </c:pt>
                <c:pt idx="9">
                  <c:v>62.083854819999999</c:v>
                </c:pt>
                <c:pt idx="10">
                  <c:v>26.486495439999999</c:v>
                </c:pt>
                <c:pt idx="11">
                  <c:v>34.407919540000002</c:v>
                </c:pt>
                <c:pt idx="12">
                  <c:v>27.248507709999998</c:v>
                </c:pt>
                <c:pt idx="13">
                  <c:v>27.675935280000001</c:v>
                </c:pt>
                <c:pt idx="14">
                  <c:v>18.84955592</c:v>
                </c:pt>
                <c:pt idx="15">
                  <c:v>14.95996502</c:v>
                </c:pt>
              </c:numCache>
            </c:numRef>
          </c:yVal>
          <c:smooth val="0"/>
          <c:extLst>
            <c:ext xmlns:c16="http://schemas.microsoft.com/office/drawing/2014/chart" uri="{C3380CC4-5D6E-409C-BE32-E72D297353CC}">
              <c16:uniqueId val="{00000001-A97E-4D7A-9FEB-ACBBC2D4F7D3}"/>
            </c:ext>
          </c:extLst>
        </c:ser>
        <c:dLbls>
          <c:showLegendKey val="0"/>
          <c:showVal val="0"/>
          <c:showCatName val="0"/>
          <c:showSerName val="0"/>
          <c:showPercent val="0"/>
          <c:showBubbleSize val="0"/>
        </c:dLbls>
        <c:axId val="978156815"/>
        <c:axId val="978171215"/>
      </c:scatterChart>
      <c:valAx>
        <c:axId val="978156815"/>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l-GR" sz="2400"/>
                  <a:t>φ</a:t>
                </a:r>
                <a:endParaRPr lang="en-US" sz="2400"/>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978171215"/>
        <c:crosses val="autoZero"/>
        <c:crossBetween val="midCat"/>
      </c:valAx>
      <c:valAx>
        <c:axId val="978171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sz="2800"/>
                  <a:t>F</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978156815"/>
        <c:crosses val="autoZero"/>
        <c:crossBetween val="midCat"/>
      </c:valAx>
      <c:spPr>
        <a:noFill/>
        <a:ln>
          <a:noFill/>
        </a:ln>
        <a:effectLst/>
      </c:spPr>
    </c:plotArea>
    <c:plotVisOnly val="1"/>
    <c:dispBlanksAs val="gap"/>
    <c:showDLblsOverMax val="0"/>
    <c:extLst>
      <c:ext uri="{0b15fc19-7d7d-44ad-8c2d-2c3a37ce22c3}">
        <chartProps xmlns="https://web.wps.cn/et/2018/main" chartId="{8e5803b2-4a23-4655-a9a0-4ecdff07832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287021</xdr:colOff>
      <xdr:row>40</xdr:row>
      <xdr:rowOff>40705</xdr:rowOff>
    </xdr:from>
    <xdr:to>
      <xdr:col>9</xdr:col>
      <xdr:colOff>1194179</xdr:colOff>
      <xdr:row>74</xdr:row>
      <xdr:rowOff>113732</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235071</xdr:colOff>
      <xdr:row>40</xdr:row>
      <xdr:rowOff>0</xdr:rowOff>
    </xdr:from>
    <xdr:to>
      <xdr:col>29</xdr:col>
      <xdr:colOff>523256</xdr:colOff>
      <xdr:row>85</xdr:row>
      <xdr:rowOff>88347</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928590" y="7496175"/>
          <a:ext cx="6430010" cy="83750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224118</xdr:colOff>
      <xdr:row>34</xdr:row>
      <xdr:rowOff>107597</xdr:rowOff>
    </xdr:from>
    <xdr:to>
      <xdr:col>12</xdr:col>
      <xdr:colOff>67519</xdr:colOff>
      <xdr:row>63</xdr:row>
      <xdr:rowOff>123265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151555</xdr:colOff>
      <xdr:row>23</xdr:row>
      <xdr:rowOff>44823</xdr:rowOff>
    </xdr:from>
    <xdr:to>
      <xdr:col>38</xdr:col>
      <xdr:colOff>226064</xdr:colOff>
      <xdr:row>63</xdr:row>
      <xdr:rowOff>3275</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866850" y="4384040"/>
          <a:ext cx="7481570" cy="7388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281940</xdr:colOff>
      <xdr:row>36</xdr:row>
      <xdr:rowOff>38099</xdr:rowOff>
    </xdr:from>
    <xdr:to>
      <xdr:col>9</xdr:col>
      <xdr:colOff>1845972</xdr:colOff>
      <xdr:row>65</xdr:row>
      <xdr:rowOff>21463</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573974</xdr:colOff>
      <xdr:row>32</xdr:row>
      <xdr:rowOff>6478</xdr:rowOff>
    </xdr:from>
    <xdr:to>
      <xdr:col>32</xdr:col>
      <xdr:colOff>596735</xdr:colOff>
      <xdr:row>67</xdr:row>
      <xdr:rowOff>108855</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999065" y="6049010"/>
          <a:ext cx="5212080" cy="65601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220980</xdr:colOff>
      <xdr:row>4</xdr:row>
      <xdr:rowOff>68580</xdr:rowOff>
    </xdr:from>
    <xdr:to>
      <xdr:col>15</xdr:col>
      <xdr:colOff>419100</xdr:colOff>
      <xdr:row>20</xdr:row>
      <xdr:rowOff>15240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2072640" y="800100"/>
          <a:ext cx="7604760" cy="2872740"/>
        </a:xfrm>
        <a:prstGeom prst="rect">
          <a:avLst/>
        </a:prstGeom>
        <a:gradFill>
          <a:gsLst>
            <a:gs pos="10000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i="1">
              <a:solidFill>
                <a:schemeClr val="dk1"/>
              </a:solidFill>
              <a:effectLst/>
              <a:latin typeface="+mn-lt"/>
              <a:ea typeface="+mn-ea"/>
              <a:cs typeface="+mn-cs"/>
            </a:rPr>
            <a:t> </a:t>
          </a:r>
          <a:endParaRPr lang="en-US" sz="1100" b="0" i="1">
            <a:solidFill>
              <a:schemeClr val="dk1"/>
            </a:solidFill>
            <a:effectLst/>
            <a:latin typeface="+mn-lt"/>
            <a:ea typeface="+mn-ea"/>
            <a:cs typeface="+mn-cs"/>
          </a:endParaRPr>
        </a:p>
        <a:p>
          <a:pPr algn="ctr"/>
          <a:r>
            <a:rPr lang="en-US" sz="1800" b="0" i="1">
              <a:solidFill>
                <a:srgbClr val="002060"/>
              </a:solidFill>
              <a:effectLst/>
              <a:latin typeface="+mn-lt"/>
              <a:ea typeface="+mn-ea"/>
              <a:cs typeface="+mn-cs"/>
            </a:rPr>
            <a:t>The RMSe(Root Mean Square error) value is minimum in power equation, that means it fits more accurately than other two methods namely linear and exponential.  For this reason, archie provides his equation in power form rather than another two forms.</a:t>
          </a:r>
        </a:p>
        <a:p>
          <a:endParaRPr lang="en-US" sz="11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5:AC38"/>
  <sheetViews>
    <sheetView topLeftCell="A6" zoomScale="81" zoomScaleNormal="81" workbookViewId="0">
      <selection activeCell="Q22" sqref="Q22"/>
    </sheetView>
  </sheetViews>
  <sheetFormatPr defaultColWidth="9" defaultRowHeight="14.4"/>
  <cols>
    <col min="7" max="15" width="9" customWidth="1"/>
    <col min="16" max="16" width="11.6640625" customWidth="1"/>
    <col min="17" max="17" width="12.21875" customWidth="1"/>
    <col min="18" max="18" width="11.6640625" customWidth="1"/>
    <col min="19" max="20" width="11.5546875" customWidth="1"/>
    <col min="21" max="22" width="9" customWidth="1"/>
    <col min="23" max="24" width="12.21875" customWidth="1"/>
    <col min="25" max="26" width="11.5546875" customWidth="1"/>
    <col min="27" max="27" width="12.21875" customWidth="1"/>
    <col min="28" max="28" width="11.5546875" customWidth="1"/>
  </cols>
  <sheetData>
    <row r="5" spans="5:29">
      <c r="G5" s="98"/>
      <c r="H5" s="98"/>
      <c r="I5" s="98"/>
      <c r="J5" s="98"/>
      <c r="K5" s="98"/>
      <c r="L5" s="117"/>
      <c r="M5" s="117"/>
      <c r="N5" s="117"/>
      <c r="O5" s="117"/>
      <c r="P5" s="117"/>
      <c r="Q5" s="117"/>
      <c r="R5" s="117"/>
      <c r="S5" s="117"/>
      <c r="T5" s="117"/>
      <c r="U5" s="117"/>
      <c r="V5" s="117"/>
      <c r="W5" s="117"/>
      <c r="X5" s="117"/>
      <c r="Y5" s="117"/>
      <c r="Z5" s="117"/>
      <c r="AA5" s="117"/>
      <c r="AB5" s="117"/>
      <c r="AC5" s="117"/>
    </row>
    <row r="6" spans="5:29">
      <c r="G6" s="99"/>
      <c r="H6" s="100" t="s">
        <v>0</v>
      </c>
      <c r="I6" s="118">
        <v>2</v>
      </c>
      <c r="J6" s="100" t="s">
        <v>1</v>
      </c>
      <c r="K6" s="119"/>
      <c r="L6" s="120"/>
      <c r="M6" s="117"/>
      <c r="N6" s="117"/>
      <c r="O6" s="117"/>
      <c r="P6" s="117"/>
      <c r="Q6" s="117"/>
      <c r="R6" s="117"/>
      <c r="S6" s="117"/>
      <c r="T6" s="117"/>
      <c r="U6" s="117"/>
      <c r="V6" s="117"/>
      <c r="W6" s="117"/>
      <c r="X6" s="117"/>
      <c r="Y6" s="117"/>
      <c r="Z6" s="117"/>
      <c r="AA6" s="117"/>
      <c r="AB6" s="117"/>
      <c r="AC6" s="117"/>
    </row>
    <row r="7" spans="5:29">
      <c r="G7" s="101"/>
      <c r="H7" s="102"/>
      <c r="I7" s="121">
        <v>0.02</v>
      </c>
      <c r="J7" s="102" t="s">
        <v>2</v>
      </c>
      <c r="K7" s="122"/>
      <c r="L7" s="120"/>
      <c r="M7" s="117"/>
      <c r="N7" s="117"/>
      <c r="O7" s="117"/>
      <c r="P7" s="117"/>
      <c r="Q7" s="117"/>
      <c r="R7" s="117"/>
      <c r="S7" s="117"/>
      <c r="T7" s="117"/>
      <c r="U7" s="117"/>
      <c r="V7" s="117"/>
      <c r="W7" s="117"/>
      <c r="X7" s="117"/>
      <c r="Y7" s="117"/>
      <c r="Z7" s="117"/>
      <c r="AA7" s="117"/>
      <c r="AB7" s="117"/>
      <c r="AC7" s="117"/>
    </row>
    <row r="8" spans="5:29" ht="28.8">
      <c r="G8" s="101"/>
      <c r="H8" s="102" t="s">
        <v>3</v>
      </c>
      <c r="I8" s="121">
        <v>13.04</v>
      </c>
      <c r="J8" s="102" t="s">
        <v>4</v>
      </c>
      <c r="K8" s="122"/>
      <c r="L8" s="120"/>
      <c r="M8" s="117"/>
      <c r="N8" s="117"/>
      <c r="O8" s="117"/>
      <c r="P8" s="117"/>
      <c r="Q8" s="117"/>
      <c r="R8" s="117"/>
      <c r="S8" s="117"/>
      <c r="T8" s="117"/>
      <c r="U8" s="117"/>
      <c r="V8" s="117"/>
      <c r="W8" s="117"/>
      <c r="X8" s="117"/>
      <c r="Y8" s="117"/>
      <c r="Z8" s="117"/>
      <c r="AA8" s="117"/>
      <c r="AB8" s="117"/>
      <c r="AC8" s="117"/>
    </row>
    <row r="9" spans="5:29">
      <c r="G9" s="101"/>
      <c r="H9" s="102" t="s">
        <v>5</v>
      </c>
      <c r="I9" s="102"/>
      <c r="J9" s="102"/>
      <c r="K9" s="122"/>
      <c r="L9" s="120"/>
      <c r="M9" s="117"/>
      <c r="N9" s="117"/>
      <c r="O9" s="117"/>
      <c r="P9" s="117"/>
      <c r="Q9" s="117"/>
      <c r="R9" s="117"/>
      <c r="S9" s="117"/>
      <c r="T9" s="117"/>
      <c r="U9" s="117"/>
      <c r="V9" s="117"/>
      <c r="W9" s="117"/>
      <c r="X9" s="117"/>
      <c r="Y9" s="117"/>
      <c r="Z9" s="117"/>
      <c r="AA9" s="117"/>
      <c r="AB9" s="117"/>
      <c r="AC9" s="117"/>
    </row>
    <row r="10" spans="5:29">
      <c r="G10" s="101"/>
      <c r="H10" s="102" t="s">
        <v>6</v>
      </c>
      <c r="I10" s="121">
        <v>0.14000000000000001</v>
      </c>
      <c r="J10" s="102" t="s">
        <v>7</v>
      </c>
      <c r="K10" s="122"/>
      <c r="L10" s="120"/>
      <c r="M10" s="117"/>
      <c r="N10" s="117"/>
      <c r="O10" s="117"/>
      <c r="P10" s="117"/>
      <c r="Q10" s="117"/>
      <c r="R10" s="117"/>
      <c r="S10" s="117"/>
      <c r="T10" s="117"/>
      <c r="U10" s="117"/>
      <c r="V10" s="117"/>
      <c r="W10" s="117"/>
      <c r="X10" s="117"/>
      <c r="Y10" s="117"/>
      <c r="Z10" s="117"/>
      <c r="AA10" s="117"/>
      <c r="AB10" s="117"/>
      <c r="AC10" s="117"/>
    </row>
    <row r="11" spans="5:29">
      <c r="G11" s="103"/>
      <c r="H11" s="104" t="s">
        <v>8</v>
      </c>
      <c r="I11" s="123">
        <v>1</v>
      </c>
      <c r="J11" s="104" t="s">
        <v>9</v>
      </c>
      <c r="K11" s="124"/>
      <c r="L11" s="120"/>
      <c r="M11" s="117"/>
      <c r="N11" s="117"/>
      <c r="O11" s="117"/>
      <c r="P11" s="117"/>
      <c r="Q11" s="117"/>
      <c r="R11" s="117"/>
      <c r="S11" s="117"/>
      <c r="T11" s="117"/>
      <c r="U11" s="98"/>
      <c r="V11" s="98"/>
      <c r="W11" s="98"/>
      <c r="X11" s="98"/>
      <c r="Y11" s="98"/>
      <c r="Z11" s="98"/>
      <c r="AA11" s="98"/>
      <c r="AB11" s="98"/>
      <c r="AC11" s="117"/>
    </row>
    <row r="12" spans="5:29">
      <c r="G12" s="105"/>
      <c r="H12" s="105"/>
      <c r="I12" s="105"/>
      <c r="J12" s="105"/>
      <c r="K12" s="105"/>
      <c r="L12" s="98"/>
      <c r="M12" s="98"/>
      <c r="N12" s="98"/>
      <c r="O12" s="98"/>
      <c r="P12" s="98"/>
      <c r="Q12" s="98"/>
      <c r="R12" s="98"/>
      <c r="S12" s="98"/>
      <c r="T12" s="131"/>
      <c r="U12" s="132"/>
      <c r="V12" s="132"/>
      <c r="W12" s="132"/>
      <c r="X12" s="132"/>
      <c r="Y12" s="132"/>
      <c r="Z12" s="132"/>
      <c r="AA12" s="132"/>
      <c r="AB12" s="132"/>
      <c r="AC12" s="120"/>
    </row>
    <row r="13" spans="5:29" ht="88.2" customHeight="1">
      <c r="E13" s="106" t="s">
        <v>6</v>
      </c>
      <c r="G13" s="107" t="s">
        <v>10</v>
      </c>
      <c r="H13" s="139" t="s">
        <v>11</v>
      </c>
      <c r="I13" s="139" t="s">
        <v>12</v>
      </c>
      <c r="J13" s="139" t="s">
        <v>13</v>
      </c>
      <c r="K13" s="139" t="s">
        <v>14</v>
      </c>
      <c r="L13" s="139" t="s">
        <v>15</v>
      </c>
      <c r="M13" s="144" t="s">
        <v>16</v>
      </c>
      <c r="N13" s="147" t="s">
        <v>17</v>
      </c>
      <c r="O13" s="147" t="s">
        <v>18</v>
      </c>
      <c r="P13" s="147" t="s">
        <v>19</v>
      </c>
      <c r="Q13" s="150" t="s">
        <v>20</v>
      </c>
      <c r="R13" s="153" t="s">
        <v>21</v>
      </c>
      <c r="S13" s="156" t="s">
        <v>22</v>
      </c>
      <c r="T13" s="159" t="s">
        <v>23</v>
      </c>
      <c r="U13" s="132"/>
      <c r="V13" s="132"/>
      <c r="W13" s="132"/>
      <c r="X13" s="132"/>
      <c r="Y13" s="132"/>
      <c r="Z13" s="132"/>
      <c r="AA13" s="132"/>
      <c r="AB13" s="132"/>
      <c r="AC13" s="120"/>
    </row>
    <row r="14" spans="5:29">
      <c r="E14" s="108">
        <v>0.14000000000000001</v>
      </c>
      <c r="G14" s="109"/>
      <c r="H14" s="140"/>
      <c r="I14" s="142"/>
      <c r="J14" s="142"/>
      <c r="K14" s="142"/>
      <c r="L14" s="142"/>
      <c r="M14" s="145"/>
      <c r="N14" s="148"/>
      <c r="O14" s="148"/>
      <c r="P14" s="148"/>
      <c r="Q14" s="151"/>
      <c r="R14" s="154"/>
      <c r="S14" s="157"/>
      <c r="T14" s="160"/>
      <c r="U14" s="132"/>
      <c r="V14" s="132"/>
      <c r="W14" s="132"/>
      <c r="X14" s="132"/>
      <c r="Y14" s="132"/>
      <c r="Z14" s="132"/>
      <c r="AA14" s="132"/>
      <c r="AB14" s="132"/>
      <c r="AC14" s="120"/>
    </row>
    <row r="15" spans="5:29">
      <c r="E15" s="108">
        <v>0.14000000000000001</v>
      </c>
      <c r="G15" s="110"/>
      <c r="H15" s="140"/>
      <c r="I15" s="142"/>
      <c r="J15" s="142"/>
      <c r="K15" s="142"/>
      <c r="L15" s="142"/>
      <c r="M15" s="145"/>
      <c r="N15" s="148"/>
      <c r="O15" s="148"/>
      <c r="P15" s="148"/>
      <c r="Q15" s="151"/>
      <c r="R15" s="154"/>
      <c r="S15" s="157"/>
      <c r="T15" s="160"/>
      <c r="U15" s="132"/>
      <c r="V15" s="132"/>
      <c r="W15" s="132"/>
      <c r="X15" s="133"/>
      <c r="Y15" s="132"/>
      <c r="Z15" s="133"/>
      <c r="AA15" s="132"/>
      <c r="AB15" s="132"/>
      <c r="AC15" s="120"/>
    </row>
    <row r="16" spans="5:29">
      <c r="E16" s="108">
        <v>0.14000000000000001</v>
      </c>
      <c r="G16" s="110"/>
      <c r="H16" s="141"/>
      <c r="I16" s="143"/>
      <c r="J16" s="143"/>
      <c r="K16" s="143"/>
      <c r="L16" s="143"/>
      <c r="M16" s="146"/>
      <c r="N16" s="149"/>
      <c r="O16" s="149"/>
      <c r="P16" s="149"/>
      <c r="Q16" s="152"/>
      <c r="R16" s="155"/>
      <c r="S16" s="158"/>
      <c r="T16" s="161"/>
      <c r="U16" s="133"/>
      <c r="V16" s="133"/>
      <c r="W16" s="134"/>
      <c r="X16" s="133"/>
      <c r="Y16" s="133"/>
      <c r="Z16" s="133"/>
      <c r="AA16" s="133"/>
      <c r="AB16" s="133"/>
      <c r="AC16" s="120"/>
    </row>
    <row r="17" spans="5:29">
      <c r="E17" s="108">
        <v>0.14000000000000001</v>
      </c>
      <c r="G17" s="111">
        <v>1</v>
      </c>
      <c r="H17" s="112">
        <v>11</v>
      </c>
      <c r="I17" s="125">
        <v>3.05</v>
      </c>
      <c r="J17" s="125">
        <v>20.59</v>
      </c>
      <c r="K17" s="125">
        <v>34.64</v>
      </c>
      <c r="L17" s="126">
        <v>860</v>
      </c>
      <c r="M17" s="127">
        <f>K17-13.04</f>
        <v>21.6</v>
      </c>
      <c r="N17" s="127">
        <f>M17-J17</f>
        <v>1.01</v>
      </c>
      <c r="O17" s="127">
        <v>1.01</v>
      </c>
      <c r="P17" s="127">
        <f>(3.141592654*POWER(2,2)*I17)/4</f>
        <v>9.5818575947000006</v>
      </c>
      <c r="Q17" s="135">
        <f>O17/P17</f>
        <v>0.105407536066771</v>
      </c>
      <c r="R17" s="136">
        <f>(3.141592654*POWER(2,2))/(4*100*100)</f>
        <v>3.1415926539999999E-4</v>
      </c>
      <c r="S17" s="136">
        <f>(L17*R17)/(I17/100)</f>
        <v>8.8582612539016399</v>
      </c>
      <c r="T17" s="137">
        <f>S17/E14</f>
        <v>63.273294670726003</v>
      </c>
      <c r="U17" s="133"/>
      <c r="V17" s="133"/>
      <c r="W17" s="133"/>
      <c r="X17" s="133"/>
      <c r="Y17" s="138"/>
      <c r="Z17" s="133"/>
      <c r="AA17" s="133"/>
      <c r="AB17" s="138"/>
      <c r="AC17" s="120"/>
    </row>
    <row r="18" spans="5:29">
      <c r="E18" s="108">
        <v>0.14000000000000001</v>
      </c>
      <c r="G18" s="111">
        <v>2</v>
      </c>
      <c r="H18" s="112">
        <v>12</v>
      </c>
      <c r="I18" s="125">
        <v>3.05</v>
      </c>
      <c r="J18" s="125">
        <v>19.13</v>
      </c>
      <c r="K18" s="125">
        <v>33.53</v>
      </c>
      <c r="L18" s="126">
        <v>520</v>
      </c>
      <c r="M18" s="127">
        <f t="shared" ref="M18:M32" si="0">K18-13.04</f>
        <v>20.49</v>
      </c>
      <c r="N18" s="127">
        <f t="shared" ref="N18:N32" si="1">M18-J18</f>
        <v>1.36</v>
      </c>
      <c r="O18" s="127">
        <v>1.36</v>
      </c>
      <c r="P18" s="127">
        <f t="shared" ref="P18:P32" si="2">(3.141592654*POWER(2,2)*I18)/4</f>
        <v>9.5818575947000006</v>
      </c>
      <c r="Q18" s="135">
        <f t="shared" ref="Q18:Q32" si="3">O18/P18</f>
        <v>0.14193490005030501</v>
      </c>
      <c r="R18" s="136">
        <f t="shared" ref="R18:R32" si="4">(3.141592654*POWER(2,2))/(4*100*100)</f>
        <v>3.1415926539999999E-4</v>
      </c>
      <c r="S18" s="136">
        <f>(L18*R18)/(I18/100)</f>
        <v>5.3561579674754096</v>
      </c>
      <c r="T18" s="137">
        <f t="shared" ref="T18:T32" si="5">S18/E15</f>
        <v>38.258271196252899</v>
      </c>
      <c r="U18" s="132"/>
      <c r="V18" s="132"/>
      <c r="W18" s="133"/>
      <c r="X18" s="132"/>
      <c r="Y18" s="138"/>
      <c r="Z18" s="132"/>
      <c r="AA18" s="132"/>
      <c r="AB18" s="132"/>
      <c r="AC18" s="120"/>
    </row>
    <row r="19" spans="5:29">
      <c r="E19" s="108">
        <v>0.14000000000000001</v>
      </c>
      <c r="G19" s="111">
        <v>3</v>
      </c>
      <c r="H19" s="112">
        <v>13</v>
      </c>
      <c r="I19" s="125">
        <v>3.05</v>
      </c>
      <c r="J19" s="125">
        <v>19.68</v>
      </c>
      <c r="K19" s="125">
        <v>33.99</v>
      </c>
      <c r="L19" s="125">
        <v>580</v>
      </c>
      <c r="M19" s="127">
        <f t="shared" si="0"/>
        <v>20.95</v>
      </c>
      <c r="N19" s="127">
        <f t="shared" si="1"/>
        <v>1.27</v>
      </c>
      <c r="O19" s="127">
        <v>1.27</v>
      </c>
      <c r="P19" s="127">
        <f t="shared" si="2"/>
        <v>9.5818575947000006</v>
      </c>
      <c r="Q19" s="135">
        <f t="shared" si="3"/>
        <v>0.13254214931168201</v>
      </c>
      <c r="R19" s="136">
        <f t="shared" si="4"/>
        <v>3.1415926539999999E-4</v>
      </c>
      <c r="S19" s="136">
        <f t="shared" ref="S19:S32" si="6">(L19*R19)/(I19/100)</f>
        <v>5.9741761944918004</v>
      </c>
      <c r="T19" s="137">
        <f t="shared" si="5"/>
        <v>42.672687103512899</v>
      </c>
      <c r="U19" s="132"/>
      <c r="V19" s="132"/>
      <c r="W19" s="133"/>
      <c r="X19" s="132"/>
      <c r="Y19" s="138"/>
      <c r="Z19" s="132"/>
      <c r="AA19" s="132"/>
      <c r="AB19" s="132"/>
      <c r="AC19" s="120"/>
    </row>
    <row r="20" spans="5:29">
      <c r="E20" s="108">
        <v>0.14000000000000001</v>
      </c>
      <c r="G20" s="111">
        <v>4</v>
      </c>
      <c r="H20" s="112">
        <v>14</v>
      </c>
      <c r="I20" s="125">
        <v>3</v>
      </c>
      <c r="J20" s="125">
        <v>21.09</v>
      </c>
      <c r="K20" s="125">
        <v>34.840000000000003</v>
      </c>
      <c r="L20" s="125">
        <v>2200</v>
      </c>
      <c r="M20" s="127">
        <f t="shared" si="0"/>
        <v>21.8</v>
      </c>
      <c r="N20" s="127">
        <f t="shared" si="1"/>
        <v>0.71000000000000396</v>
      </c>
      <c r="O20" s="127">
        <v>0.71</v>
      </c>
      <c r="P20" s="127">
        <f t="shared" si="2"/>
        <v>9.4247779620000003</v>
      </c>
      <c r="Q20" s="135">
        <f t="shared" si="3"/>
        <v>7.5333339720327297E-2</v>
      </c>
      <c r="R20" s="136">
        <f t="shared" si="4"/>
        <v>3.1415926539999999E-4</v>
      </c>
      <c r="S20" s="136">
        <f t="shared" si="6"/>
        <v>23.038346129333299</v>
      </c>
      <c r="T20" s="137">
        <f t="shared" si="5"/>
        <v>164.559615209524</v>
      </c>
      <c r="U20" s="132"/>
      <c r="V20" s="132"/>
      <c r="W20" s="133"/>
      <c r="X20" s="132"/>
      <c r="Y20" s="138"/>
      <c r="Z20" s="132"/>
      <c r="AA20" s="132"/>
      <c r="AB20" s="132"/>
      <c r="AC20" s="120"/>
    </row>
    <row r="21" spans="5:29">
      <c r="E21" s="108">
        <v>0.14000000000000001</v>
      </c>
      <c r="G21" s="111">
        <v>5</v>
      </c>
      <c r="H21" s="112" t="s">
        <v>24</v>
      </c>
      <c r="I21" s="125">
        <v>3.1</v>
      </c>
      <c r="J21" s="125">
        <v>21.21</v>
      </c>
      <c r="K21" s="125">
        <v>35.04</v>
      </c>
      <c r="L21" s="125">
        <v>2100</v>
      </c>
      <c r="M21" s="127">
        <f t="shared" si="0"/>
        <v>22</v>
      </c>
      <c r="N21" s="127">
        <f t="shared" si="1"/>
        <v>0.78999999999999904</v>
      </c>
      <c r="O21" s="127">
        <v>0.79</v>
      </c>
      <c r="P21" s="127">
        <f t="shared" si="2"/>
        <v>9.7389372273999992</v>
      </c>
      <c r="Q21" s="135">
        <f t="shared" si="3"/>
        <v>8.1117680662051703E-2</v>
      </c>
      <c r="R21" s="136">
        <f t="shared" si="4"/>
        <v>3.1415926539999999E-4</v>
      </c>
      <c r="S21" s="136">
        <f t="shared" si="6"/>
        <v>21.281756688387102</v>
      </c>
      <c r="T21" s="137">
        <f t="shared" si="5"/>
        <v>152.01254777419399</v>
      </c>
      <c r="U21" s="132"/>
      <c r="V21" s="132"/>
      <c r="W21" s="133"/>
      <c r="X21" s="132"/>
      <c r="Y21" s="138"/>
      <c r="Z21" s="132"/>
      <c r="AA21" s="132"/>
      <c r="AB21" s="132"/>
      <c r="AC21" s="120"/>
    </row>
    <row r="22" spans="5:29">
      <c r="E22" s="108">
        <v>0.14000000000000001</v>
      </c>
      <c r="G22" s="111">
        <v>6</v>
      </c>
      <c r="H22" s="112">
        <v>15</v>
      </c>
      <c r="I22" s="125">
        <v>3.05</v>
      </c>
      <c r="J22" s="125">
        <v>18.600000000000001</v>
      </c>
      <c r="K22" s="125">
        <v>33.03</v>
      </c>
      <c r="L22" s="125">
        <v>465</v>
      </c>
      <c r="M22" s="127">
        <f t="shared" si="0"/>
        <v>19.989999999999998</v>
      </c>
      <c r="N22" s="127">
        <f t="shared" si="1"/>
        <v>1.39</v>
      </c>
      <c r="O22" s="127">
        <v>1.39</v>
      </c>
      <c r="P22" s="127">
        <f t="shared" si="2"/>
        <v>9.5818575947000006</v>
      </c>
      <c r="Q22" s="135">
        <f t="shared" si="3"/>
        <v>0.145065816963179</v>
      </c>
      <c r="R22" s="136">
        <f t="shared" si="4"/>
        <v>3.1415926539999999E-4</v>
      </c>
      <c r="S22" s="136">
        <f t="shared" si="6"/>
        <v>4.7896412593770501</v>
      </c>
      <c r="T22" s="137">
        <f t="shared" si="5"/>
        <v>34.211723281264597</v>
      </c>
      <c r="U22" s="132"/>
      <c r="V22" s="132"/>
      <c r="W22" s="133"/>
      <c r="X22" s="132"/>
      <c r="Y22" s="138"/>
      <c r="Z22" s="132"/>
      <c r="AA22" s="132"/>
      <c r="AB22" s="132"/>
      <c r="AC22" s="120"/>
    </row>
    <row r="23" spans="5:29">
      <c r="E23" s="108">
        <v>0.14000000000000001</v>
      </c>
      <c r="G23" s="111">
        <v>7</v>
      </c>
      <c r="H23" s="112">
        <v>16</v>
      </c>
      <c r="I23" s="125">
        <v>3.05</v>
      </c>
      <c r="J23" s="125">
        <v>19.37</v>
      </c>
      <c r="K23" s="125">
        <v>33.619999999999997</v>
      </c>
      <c r="L23" s="125">
        <v>1000</v>
      </c>
      <c r="M23" s="127">
        <f t="shared" si="0"/>
        <v>20.58</v>
      </c>
      <c r="N23" s="127">
        <f t="shared" si="1"/>
        <v>1.21</v>
      </c>
      <c r="O23" s="127">
        <v>1.21</v>
      </c>
      <c r="P23" s="127">
        <f t="shared" si="2"/>
        <v>9.5818575947000006</v>
      </c>
      <c r="Q23" s="135">
        <f t="shared" si="3"/>
        <v>0.12628031548593299</v>
      </c>
      <c r="R23" s="136">
        <f t="shared" si="4"/>
        <v>3.1415926539999999E-4</v>
      </c>
      <c r="S23" s="136">
        <f t="shared" si="6"/>
        <v>10.3003037836066</v>
      </c>
      <c r="T23" s="137">
        <f t="shared" si="5"/>
        <v>73.573598454332497</v>
      </c>
      <c r="U23" s="132"/>
      <c r="V23" s="132"/>
      <c r="W23" s="133"/>
      <c r="X23" s="132"/>
      <c r="Y23" s="138"/>
      <c r="Z23" s="132"/>
      <c r="AA23" s="132"/>
      <c r="AB23" s="132"/>
      <c r="AC23" s="120"/>
    </row>
    <row r="24" spans="5:29">
      <c r="E24" s="108">
        <v>0.14000000000000001</v>
      </c>
      <c r="G24" s="111">
        <v>8</v>
      </c>
      <c r="H24" s="112">
        <v>17</v>
      </c>
      <c r="I24" s="125">
        <v>3.05</v>
      </c>
      <c r="J24" s="125">
        <v>20.7</v>
      </c>
      <c r="K24" s="125">
        <v>34.64</v>
      </c>
      <c r="L24" s="125">
        <v>1100</v>
      </c>
      <c r="M24" s="127">
        <f t="shared" si="0"/>
        <v>21.6</v>
      </c>
      <c r="N24" s="127">
        <f t="shared" si="1"/>
        <v>0.90000000000000202</v>
      </c>
      <c r="O24" s="127">
        <v>0.9</v>
      </c>
      <c r="P24" s="127">
        <f t="shared" si="2"/>
        <v>9.5818575947000006</v>
      </c>
      <c r="Q24" s="135">
        <f t="shared" si="3"/>
        <v>9.3927507386231193E-2</v>
      </c>
      <c r="R24" s="136">
        <f t="shared" si="4"/>
        <v>3.1415926539999999E-4</v>
      </c>
      <c r="S24" s="136">
        <f t="shared" si="6"/>
        <v>11.330334161967199</v>
      </c>
      <c r="T24" s="137">
        <f t="shared" si="5"/>
        <v>80.930958299765805</v>
      </c>
      <c r="U24" s="132"/>
      <c r="V24" s="132"/>
      <c r="W24" s="133"/>
      <c r="X24" s="132"/>
      <c r="Y24" s="138"/>
      <c r="Z24" s="132"/>
      <c r="AA24" s="132"/>
      <c r="AB24" s="132"/>
      <c r="AC24" s="120"/>
    </row>
    <row r="25" spans="5:29">
      <c r="E25" s="108">
        <v>0.14000000000000001</v>
      </c>
      <c r="G25" s="111">
        <v>9</v>
      </c>
      <c r="H25" s="112">
        <v>18</v>
      </c>
      <c r="I25" s="125">
        <v>3.05</v>
      </c>
      <c r="J25" s="125">
        <v>19.309999999999999</v>
      </c>
      <c r="K25" s="125">
        <v>33.68</v>
      </c>
      <c r="L25" s="125">
        <v>500</v>
      </c>
      <c r="M25" s="127">
        <f t="shared" si="0"/>
        <v>20.64</v>
      </c>
      <c r="N25" s="127">
        <f t="shared" si="1"/>
        <v>1.33</v>
      </c>
      <c r="O25" s="127">
        <v>1.33</v>
      </c>
      <c r="P25" s="127">
        <f t="shared" si="2"/>
        <v>9.5818575947000006</v>
      </c>
      <c r="Q25" s="135">
        <f t="shared" si="3"/>
        <v>0.138803983137431</v>
      </c>
      <c r="R25" s="136">
        <f t="shared" si="4"/>
        <v>3.1415926539999999E-4</v>
      </c>
      <c r="S25" s="136">
        <f t="shared" si="6"/>
        <v>5.1501518918032803</v>
      </c>
      <c r="T25" s="137">
        <f t="shared" si="5"/>
        <v>36.786799227166298</v>
      </c>
      <c r="U25" s="132"/>
      <c r="V25" s="132"/>
      <c r="W25" s="133"/>
      <c r="X25" s="132"/>
      <c r="Y25" s="138"/>
      <c r="Z25" s="132"/>
      <c r="AA25" s="132"/>
      <c r="AB25" s="132"/>
      <c r="AC25" s="120"/>
    </row>
    <row r="26" spans="5:29">
      <c r="E26" s="108">
        <v>0.14000000000000001</v>
      </c>
      <c r="G26" s="111">
        <v>10</v>
      </c>
      <c r="H26" s="112">
        <v>19</v>
      </c>
      <c r="I26" s="125">
        <v>3</v>
      </c>
      <c r="J26" s="125">
        <v>19.37</v>
      </c>
      <c r="K26" s="125">
        <v>33.64</v>
      </c>
      <c r="L26" s="125">
        <v>830</v>
      </c>
      <c r="M26" s="127">
        <f t="shared" si="0"/>
        <v>20.6</v>
      </c>
      <c r="N26" s="127">
        <f t="shared" si="1"/>
        <v>1.23</v>
      </c>
      <c r="O26" s="127">
        <v>1.23</v>
      </c>
      <c r="P26" s="127">
        <f t="shared" si="2"/>
        <v>9.4247779620000003</v>
      </c>
      <c r="Q26" s="135">
        <f t="shared" si="3"/>
        <v>0.130507053318313</v>
      </c>
      <c r="R26" s="136">
        <f t="shared" si="4"/>
        <v>3.1415926539999999E-4</v>
      </c>
      <c r="S26" s="136">
        <f t="shared" si="6"/>
        <v>8.6917396760666694</v>
      </c>
      <c r="T26" s="137">
        <f t="shared" si="5"/>
        <v>62.083854829047603</v>
      </c>
      <c r="U26" s="132"/>
      <c r="V26" s="132"/>
      <c r="W26" s="133"/>
      <c r="X26" s="132"/>
      <c r="Y26" s="138"/>
      <c r="Z26" s="132"/>
      <c r="AA26" s="132"/>
      <c r="AB26" s="132"/>
      <c r="AC26" s="120"/>
    </row>
    <row r="27" spans="5:29">
      <c r="E27" s="108">
        <v>0.14000000000000001</v>
      </c>
      <c r="G27" s="111">
        <v>11</v>
      </c>
      <c r="H27" s="112">
        <v>20</v>
      </c>
      <c r="I27" s="125">
        <v>3.05</v>
      </c>
      <c r="J27" s="125">
        <v>17.84</v>
      </c>
      <c r="K27" s="125">
        <v>32.58</v>
      </c>
      <c r="L27" s="125">
        <v>360</v>
      </c>
      <c r="M27" s="127">
        <f t="shared" si="0"/>
        <v>19.54</v>
      </c>
      <c r="N27" s="127">
        <f t="shared" si="1"/>
        <v>1.7</v>
      </c>
      <c r="O27" s="127">
        <v>1.7</v>
      </c>
      <c r="P27" s="127">
        <f t="shared" si="2"/>
        <v>9.5818575947000006</v>
      </c>
      <c r="Q27" s="135">
        <f t="shared" si="3"/>
        <v>0.177418625062881</v>
      </c>
      <c r="R27" s="136">
        <f t="shared" si="4"/>
        <v>3.1415926539999999E-4</v>
      </c>
      <c r="S27" s="136">
        <f t="shared" si="6"/>
        <v>3.7081093620983601</v>
      </c>
      <c r="T27" s="137">
        <f t="shared" si="5"/>
        <v>26.486495443559701</v>
      </c>
      <c r="U27" s="132"/>
      <c r="V27" s="132"/>
      <c r="W27" s="133"/>
      <c r="X27" s="132"/>
      <c r="Y27" s="138"/>
      <c r="Z27" s="132"/>
      <c r="AA27" s="132"/>
      <c r="AB27" s="132"/>
      <c r="AC27" s="120"/>
    </row>
    <row r="28" spans="5:29">
      <c r="E28" s="108">
        <v>0.14000000000000001</v>
      </c>
      <c r="G28" s="111">
        <v>12</v>
      </c>
      <c r="H28" s="112">
        <v>22</v>
      </c>
      <c r="I28" s="125">
        <v>3</v>
      </c>
      <c r="J28" s="125">
        <v>18.649999999999999</v>
      </c>
      <c r="K28" s="125">
        <v>33.25</v>
      </c>
      <c r="L28" s="125">
        <v>460</v>
      </c>
      <c r="M28" s="127">
        <f t="shared" si="0"/>
        <v>20.21</v>
      </c>
      <c r="N28" s="127">
        <f t="shared" si="1"/>
        <v>1.56</v>
      </c>
      <c r="O28" s="127">
        <v>1.56</v>
      </c>
      <c r="P28" s="127">
        <f t="shared" si="2"/>
        <v>9.4247779620000003</v>
      </c>
      <c r="Q28" s="135">
        <f t="shared" si="3"/>
        <v>0.16552114079395899</v>
      </c>
      <c r="R28" s="136">
        <f t="shared" si="4"/>
        <v>3.1415926539999999E-4</v>
      </c>
      <c r="S28" s="136">
        <f t="shared" si="6"/>
        <v>4.8171087361333296</v>
      </c>
      <c r="T28" s="137">
        <f t="shared" si="5"/>
        <v>34.407919543809498</v>
      </c>
      <c r="U28" s="132"/>
      <c r="V28" s="132"/>
      <c r="W28" s="133"/>
      <c r="X28" s="132"/>
      <c r="Y28" s="138"/>
      <c r="Z28" s="132"/>
      <c r="AA28" s="132"/>
      <c r="AB28" s="132"/>
      <c r="AC28" s="120"/>
    </row>
    <row r="29" spans="5:29">
      <c r="E29" s="108">
        <v>0.14000000000000001</v>
      </c>
      <c r="G29" s="111">
        <v>13</v>
      </c>
      <c r="H29" s="112">
        <v>23</v>
      </c>
      <c r="I29" s="125">
        <v>2.8</v>
      </c>
      <c r="J29" s="125">
        <v>16.899999999999999</v>
      </c>
      <c r="K29" s="125">
        <v>31.4</v>
      </c>
      <c r="L29" s="125">
        <v>340</v>
      </c>
      <c r="M29" s="127">
        <f t="shared" si="0"/>
        <v>18.36</v>
      </c>
      <c r="N29" s="127">
        <f t="shared" si="1"/>
        <v>1.46</v>
      </c>
      <c r="O29" s="127">
        <v>1.46</v>
      </c>
      <c r="P29" s="127">
        <f t="shared" si="2"/>
        <v>8.7964594312000006</v>
      </c>
      <c r="Q29" s="135">
        <f t="shared" si="3"/>
        <v>0.165975869202733</v>
      </c>
      <c r="R29" s="136">
        <f t="shared" si="4"/>
        <v>3.1415926539999999E-4</v>
      </c>
      <c r="S29" s="136">
        <f t="shared" si="6"/>
        <v>3.8147910798571401</v>
      </c>
      <c r="T29" s="137">
        <f t="shared" si="5"/>
        <v>27.248507713265301</v>
      </c>
      <c r="U29" s="132"/>
      <c r="V29" s="132"/>
      <c r="W29" s="133"/>
      <c r="X29" s="132"/>
      <c r="Y29" s="138"/>
      <c r="Z29" s="132"/>
      <c r="AA29" s="132"/>
      <c r="AB29" s="132"/>
      <c r="AC29" s="120"/>
    </row>
    <row r="30" spans="5:29">
      <c r="E30" s="108">
        <v>0.14000000000000001</v>
      </c>
      <c r="G30" s="111">
        <v>14</v>
      </c>
      <c r="H30" s="113" t="s">
        <v>25</v>
      </c>
      <c r="I30" s="126">
        <v>3</v>
      </c>
      <c r="J30" s="126">
        <v>18.010000000000002</v>
      </c>
      <c r="K30" s="126">
        <v>32.57</v>
      </c>
      <c r="L30" s="125">
        <v>370</v>
      </c>
      <c r="M30" s="127">
        <f t="shared" si="0"/>
        <v>19.53</v>
      </c>
      <c r="N30" s="127">
        <f t="shared" si="1"/>
        <v>1.52</v>
      </c>
      <c r="O30" s="128">
        <v>1.52</v>
      </c>
      <c r="P30" s="127">
        <f t="shared" si="2"/>
        <v>9.4247779620000003</v>
      </c>
      <c r="Q30" s="135">
        <f t="shared" si="3"/>
        <v>0.16127700897872899</v>
      </c>
      <c r="R30" s="136">
        <f t="shared" si="4"/>
        <v>3.1415926539999999E-4</v>
      </c>
      <c r="S30" s="136">
        <f t="shared" si="6"/>
        <v>3.8746309399333301</v>
      </c>
      <c r="T30" s="137">
        <f t="shared" si="5"/>
        <v>27.675935285238101</v>
      </c>
      <c r="U30" s="132"/>
      <c r="V30" s="132"/>
      <c r="W30" s="133"/>
      <c r="X30" s="132"/>
      <c r="Y30" s="138"/>
      <c r="Z30" s="132"/>
      <c r="AA30" s="132"/>
      <c r="AB30" s="132"/>
      <c r="AC30" s="120"/>
    </row>
    <row r="31" spans="5:29">
      <c r="E31" s="108">
        <v>0.14000000000000001</v>
      </c>
      <c r="G31" s="111">
        <v>15</v>
      </c>
      <c r="H31" s="114">
        <v>24</v>
      </c>
      <c r="I31" s="126">
        <v>2.5</v>
      </c>
      <c r="J31" s="126">
        <v>13.44</v>
      </c>
      <c r="K31" s="126">
        <v>27.96</v>
      </c>
      <c r="L31" s="125">
        <v>210</v>
      </c>
      <c r="M31" s="127">
        <f t="shared" si="0"/>
        <v>14.92</v>
      </c>
      <c r="N31" s="127">
        <f t="shared" si="1"/>
        <v>1.48</v>
      </c>
      <c r="O31" s="128">
        <v>1.48</v>
      </c>
      <c r="P31" s="127">
        <f t="shared" si="2"/>
        <v>7.8539816350000002</v>
      </c>
      <c r="Q31" s="135">
        <f t="shared" si="3"/>
        <v>0.18843945259619899</v>
      </c>
      <c r="R31" s="136">
        <f t="shared" si="4"/>
        <v>3.1415926539999999E-4</v>
      </c>
      <c r="S31" s="136">
        <f t="shared" si="6"/>
        <v>2.6389378293600001</v>
      </c>
      <c r="T31" s="137">
        <f t="shared" si="5"/>
        <v>18.849555924000001</v>
      </c>
      <c r="U31" s="132"/>
      <c r="V31" s="132"/>
      <c r="W31" s="133"/>
      <c r="X31" s="132"/>
      <c r="Y31" s="138"/>
      <c r="Z31" s="132"/>
      <c r="AA31" s="132"/>
      <c r="AB31" s="132"/>
      <c r="AC31" s="120"/>
    </row>
    <row r="32" spans="5:29">
      <c r="E32" s="108">
        <v>0.14000000000000001</v>
      </c>
      <c r="G32" s="115">
        <v>16</v>
      </c>
      <c r="H32" s="116">
        <v>26</v>
      </c>
      <c r="I32" s="129">
        <v>3</v>
      </c>
      <c r="J32" s="129">
        <v>15.72</v>
      </c>
      <c r="K32" s="129">
        <v>31.01</v>
      </c>
      <c r="L32" s="129">
        <v>200</v>
      </c>
      <c r="M32" s="127">
        <f t="shared" si="0"/>
        <v>17.97</v>
      </c>
      <c r="N32" s="127">
        <f t="shared" si="1"/>
        <v>2.25</v>
      </c>
      <c r="O32" s="130">
        <v>2.25</v>
      </c>
      <c r="P32" s="127">
        <f t="shared" si="2"/>
        <v>9.4247779620000003</v>
      </c>
      <c r="Q32" s="135">
        <f t="shared" si="3"/>
        <v>0.238732414606671</v>
      </c>
      <c r="R32" s="136">
        <f t="shared" si="4"/>
        <v>3.1415926539999999E-4</v>
      </c>
      <c r="S32" s="136">
        <f t="shared" si="6"/>
        <v>2.0943951026666698</v>
      </c>
      <c r="T32" s="137">
        <f t="shared" si="5"/>
        <v>14.959965019047599</v>
      </c>
      <c r="U32" s="132"/>
      <c r="V32" s="132"/>
      <c r="W32" s="133"/>
      <c r="X32" s="132"/>
      <c r="Y32" s="138"/>
      <c r="Z32" s="132"/>
      <c r="AA32" s="132"/>
      <c r="AB32" s="132"/>
      <c r="AC32" s="120"/>
    </row>
    <row r="38" spans="17:17">
      <c r="Q38" t="s">
        <v>26</v>
      </c>
    </row>
  </sheetData>
  <mergeCells count="13">
    <mergeCell ref="R13:R16"/>
    <mergeCell ref="S13:S16"/>
    <mergeCell ref="T13:T16"/>
    <mergeCell ref="M13:M16"/>
    <mergeCell ref="N13:N16"/>
    <mergeCell ref="O13:O16"/>
    <mergeCell ref="P13:P16"/>
    <mergeCell ref="Q13:Q16"/>
    <mergeCell ref="H13:H16"/>
    <mergeCell ref="I13:I16"/>
    <mergeCell ref="J13:J16"/>
    <mergeCell ref="K13:K16"/>
    <mergeCell ref="L13:L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E8:Y54"/>
  <sheetViews>
    <sheetView topLeftCell="A36" zoomScale="87" zoomScaleNormal="87" workbookViewId="0">
      <selection activeCell="R17" sqref="R17"/>
    </sheetView>
  </sheetViews>
  <sheetFormatPr defaultColWidth="9" defaultRowHeight="14.4"/>
  <cols>
    <col min="6" max="7" width="15.6640625" customWidth="1"/>
    <col min="8" max="8" width="11.6640625" customWidth="1"/>
    <col min="9" max="10" width="26.33203125" customWidth="1"/>
    <col min="11" max="11" width="21.21875" customWidth="1"/>
    <col min="12" max="13" width="16.5546875" customWidth="1"/>
    <col min="22" max="22" width="17.5546875" customWidth="1"/>
  </cols>
  <sheetData>
    <row r="8" spans="5:22">
      <c r="E8" s="28"/>
      <c r="H8" s="28"/>
      <c r="I8" s="28"/>
      <c r="J8" s="28"/>
      <c r="K8" s="28"/>
      <c r="L8" s="28"/>
      <c r="M8" s="28"/>
      <c r="N8" s="28"/>
      <c r="O8" s="28"/>
      <c r="P8" s="28"/>
      <c r="Q8" s="28"/>
      <c r="R8" s="28"/>
      <c r="S8" s="28"/>
      <c r="T8" s="28"/>
      <c r="U8" s="28"/>
      <c r="V8" s="28"/>
    </row>
    <row r="9" spans="5:22">
      <c r="E9" s="28"/>
      <c r="H9" s="28"/>
      <c r="I9" s="28"/>
      <c r="J9" s="28"/>
      <c r="K9" s="28"/>
      <c r="L9" s="28"/>
      <c r="M9" s="28"/>
      <c r="N9" s="28"/>
      <c r="O9" s="28"/>
      <c r="P9" s="28"/>
      <c r="Q9" s="28"/>
      <c r="R9" s="28"/>
      <c r="S9" s="28"/>
      <c r="T9" s="28"/>
      <c r="U9" s="28"/>
      <c r="V9" s="28"/>
    </row>
    <row r="10" spans="5:22">
      <c r="E10" s="28"/>
      <c r="H10" s="184" t="s">
        <v>27</v>
      </c>
      <c r="I10" s="175"/>
      <c r="J10" s="28"/>
      <c r="K10" s="28"/>
      <c r="L10" s="28"/>
      <c r="M10" s="28"/>
      <c r="N10" s="28"/>
      <c r="O10" s="28"/>
      <c r="P10" s="28"/>
      <c r="Q10" s="28"/>
      <c r="R10" s="28"/>
      <c r="S10" s="28"/>
      <c r="T10" s="28"/>
      <c r="U10" s="28"/>
      <c r="V10" s="28"/>
    </row>
    <row r="11" spans="5:22">
      <c r="E11" s="28"/>
      <c r="H11" s="185"/>
      <c r="I11" s="175"/>
      <c r="J11" s="28"/>
      <c r="K11" s="28"/>
      <c r="L11" s="28"/>
      <c r="M11" s="28"/>
      <c r="N11" s="28"/>
      <c r="O11" s="28"/>
      <c r="P11" s="28"/>
      <c r="Q11" s="28"/>
      <c r="R11" s="28"/>
      <c r="S11" s="28"/>
      <c r="T11" s="28"/>
      <c r="U11" s="28"/>
      <c r="V11" s="28"/>
    </row>
    <row r="12" spans="5:22">
      <c r="E12" s="28"/>
      <c r="H12" s="185"/>
      <c r="I12" s="175"/>
      <c r="J12" s="28"/>
      <c r="K12" s="28"/>
      <c r="L12" s="28"/>
      <c r="M12" s="28"/>
      <c r="N12" s="28"/>
      <c r="O12" s="28"/>
      <c r="P12" s="28"/>
      <c r="Q12" s="28"/>
      <c r="R12" s="28"/>
      <c r="S12" s="28"/>
      <c r="T12" s="28"/>
      <c r="U12" s="28"/>
      <c r="V12" s="28"/>
    </row>
    <row r="13" spans="5:22">
      <c r="E13" s="28"/>
      <c r="H13" s="185"/>
      <c r="I13" s="175"/>
      <c r="J13" s="28"/>
      <c r="K13" s="28"/>
      <c r="L13" s="28"/>
      <c r="M13" s="28"/>
      <c r="N13" s="28"/>
      <c r="O13" s="28"/>
      <c r="P13" s="28"/>
      <c r="Q13" s="28"/>
      <c r="R13" s="28"/>
      <c r="S13" s="28"/>
      <c r="T13" s="28"/>
      <c r="U13" s="28"/>
      <c r="V13" s="28"/>
    </row>
    <row r="14" spans="5:22">
      <c r="E14" s="28"/>
      <c r="H14" s="28"/>
      <c r="I14" s="28"/>
      <c r="J14" s="28"/>
      <c r="K14" s="28"/>
      <c r="L14" s="28"/>
      <c r="M14" s="28"/>
      <c r="N14" s="28"/>
      <c r="O14" s="28"/>
      <c r="P14" s="28"/>
      <c r="Q14" s="28"/>
      <c r="R14" s="28"/>
      <c r="S14" s="28"/>
      <c r="T14" s="28"/>
      <c r="U14" s="28"/>
      <c r="V14" s="28"/>
    </row>
    <row r="15" spans="5:22">
      <c r="E15" s="28"/>
      <c r="H15" s="28"/>
      <c r="I15" s="28"/>
      <c r="J15" s="28"/>
      <c r="K15" s="46"/>
      <c r="L15" s="28"/>
      <c r="M15" s="28"/>
      <c r="N15" s="28"/>
      <c r="O15" s="28"/>
      <c r="P15" s="28"/>
      <c r="Q15" s="28"/>
      <c r="R15" s="28"/>
      <c r="S15" s="28"/>
      <c r="T15" s="28"/>
      <c r="U15" s="28"/>
      <c r="V15" s="28"/>
    </row>
    <row r="16" spans="5:22">
      <c r="E16" s="28"/>
      <c r="H16" s="28"/>
      <c r="I16" s="51"/>
      <c r="J16" s="51"/>
      <c r="K16" s="28"/>
      <c r="L16" s="28"/>
      <c r="M16" s="28"/>
      <c r="N16" s="28"/>
      <c r="O16" s="28"/>
      <c r="P16" s="28"/>
      <c r="Q16" s="28"/>
      <c r="R16" s="28"/>
      <c r="S16" s="28"/>
      <c r="T16" s="28"/>
      <c r="U16" s="28"/>
      <c r="V16" s="28"/>
    </row>
    <row r="17" spans="5:25">
      <c r="E17" s="28"/>
      <c r="H17" s="28"/>
      <c r="I17" s="51"/>
      <c r="J17" s="51"/>
      <c r="K17" s="28"/>
      <c r="L17" s="28"/>
      <c r="M17" s="28"/>
      <c r="N17" s="28"/>
      <c r="O17" s="28"/>
      <c r="P17" s="28"/>
      <c r="Q17" s="28"/>
      <c r="R17" s="28"/>
      <c r="S17" s="28"/>
      <c r="T17" s="28"/>
      <c r="U17" s="28"/>
      <c r="V17" s="28"/>
    </row>
    <row r="18" spans="5:25">
      <c r="E18" s="28"/>
      <c r="G18" s="1"/>
      <c r="H18" s="2"/>
      <c r="I18" s="11"/>
      <c r="J18" s="12"/>
      <c r="K18" s="2"/>
      <c r="L18" s="2"/>
      <c r="M18" s="2"/>
      <c r="N18" s="2"/>
      <c r="O18" s="2"/>
      <c r="P18" s="2"/>
      <c r="Q18" s="2"/>
      <c r="R18" s="2"/>
      <c r="S18" s="2"/>
      <c r="T18" s="2"/>
      <c r="U18" s="2"/>
      <c r="V18" s="28"/>
    </row>
    <row r="19" spans="5:25">
      <c r="E19" s="79"/>
      <c r="G19" s="1"/>
      <c r="H19" s="167" t="s">
        <v>10</v>
      </c>
      <c r="I19" s="169" t="s">
        <v>23</v>
      </c>
      <c r="J19" s="172" t="s">
        <v>20</v>
      </c>
      <c r="K19" s="174" t="s">
        <v>28</v>
      </c>
      <c r="L19" s="178" t="s">
        <v>29</v>
      </c>
      <c r="M19" s="179"/>
      <c r="N19" s="178" t="s">
        <v>30</v>
      </c>
      <c r="O19" s="179"/>
      <c r="P19" s="178" t="s">
        <v>31</v>
      </c>
      <c r="Q19" s="179"/>
      <c r="R19" s="176" t="s">
        <v>32</v>
      </c>
      <c r="S19" s="177"/>
      <c r="T19" s="177"/>
      <c r="U19" s="177"/>
      <c r="V19" s="94"/>
      <c r="W19" s="95"/>
      <c r="X19" s="95"/>
      <c r="Y19" s="95"/>
    </row>
    <row r="20" spans="5:25">
      <c r="E20" s="28"/>
      <c r="G20" s="1"/>
      <c r="H20" s="168"/>
      <c r="I20" s="170"/>
      <c r="J20" s="170"/>
      <c r="K20" s="168"/>
      <c r="L20" s="180"/>
      <c r="M20" s="181"/>
      <c r="N20" s="180"/>
      <c r="O20" s="181"/>
      <c r="P20" s="180"/>
      <c r="Q20" s="181"/>
      <c r="R20" s="176"/>
      <c r="S20" s="177"/>
      <c r="T20" s="177"/>
      <c r="U20" s="177"/>
      <c r="V20" s="94"/>
      <c r="W20" s="95"/>
      <c r="X20" s="95"/>
      <c r="Y20" s="95"/>
    </row>
    <row r="21" spans="5:25">
      <c r="E21" s="28"/>
      <c r="G21" s="1"/>
      <c r="H21" s="168"/>
      <c r="I21" s="170"/>
      <c r="J21" s="170"/>
      <c r="K21" s="168"/>
      <c r="L21" s="180"/>
      <c r="M21" s="181"/>
      <c r="N21" s="180"/>
      <c r="O21" s="181"/>
      <c r="P21" s="180"/>
      <c r="Q21" s="181"/>
      <c r="R21" s="176"/>
      <c r="S21" s="177"/>
      <c r="T21" s="177"/>
      <c r="U21" s="177"/>
      <c r="V21" s="94"/>
      <c r="W21" s="95"/>
      <c r="X21" s="95"/>
      <c r="Y21" s="95"/>
    </row>
    <row r="22" spans="5:25">
      <c r="E22" s="28"/>
      <c r="G22" s="1"/>
      <c r="H22" s="168"/>
      <c r="I22" s="171"/>
      <c r="J22" s="173"/>
      <c r="K22" s="168"/>
      <c r="L22" s="182"/>
      <c r="M22" s="183"/>
      <c r="N22" s="182"/>
      <c r="O22" s="183"/>
      <c r="P22" s="182"/>
      <c r="Q22" s="183"/>
      <c r="R22" s="176"/>
      <c r="S22" s="177"/>
      <c r="T22" s="177"/>
      <c r="U22" s="177"/>
      <c r="V22" s="94" t="s">
        <v>33</v>
      </c>
      <c r="W22" s="95" t="s">
        <v>34</v>
      </c>
      <c r="X22" s="95" t="s">
        <v>35</v>
      </c>
      <c r="Y22" s="95" t="s">
        <v>36</v>
      </c>
    </row>
    <row r="23" spans="5:25">
      <c r="E23" s="28"/>
      <c r="G23" s="1"/>
      <c r="H23" s="16">
        <v>1</v>
      </c>
      <c r="I23" s="80">
        <v>63.273294659999998</v>
      </c>
      <c r="J23" s="81">
        <v>0.1054075361</v>
      </c>
      <c r="K23" s="82">
        <f>SUM(J23:J38)</f>
        <v>2.2682847935999999</v>
      </c>
      <c r="L23" s="162">
        <f>SUMSQ(J23:J38)</f>
        <v>0.348126171220281</v>
      </c>
      <c r="M23" s="163"/>
      <c r="N23" s="164">
        <f>SUM(I23:I38)</f>
        <v>897.99172891000001</v>
      </c>
      <c r="O23" s="165"/>
      <c r="P23" s="165">
        <f>SUMPRODUCT(I23:I38,J23:J38)</f>
        <v>104.051304654898</v>
      </c>
      <c r="Q23" s="165"/>
      <c r="R23" s="166">
        <f>(-875.68*J23)+180.27</f>
        <v>87.966728787951993</v>
      </c>
      <c r="S23" s="166"/>
      <c r="T23" s="166"/>
      <c r="U23" s="166"/>
      <c r="V23" s="28">
        <f>R23-I23</f>
        <v>24.693434127951999</v>
      </c>
      <c r="W23">
        <f>SUMSQ(V23:V38)</f>
        <v>9026.5080344082908</v>
      </c>
      <c r="X23">
        <f>W23/L44</f>
        <v>564.15675215051795</v>
      </c>
      <c r="Y23">
        <f>SQRT(X23)</f>
        <v>23.7519841729174</v>
      </c>
    </row>
    <row r="24" spans="5:25">
      <c r="E24" s="28"/>
      <c r="G24" s="1"/>
      <c r="H24" s="16">
        <f>H23+1</f>
        <v>2</v>
      </c>
      <c r="I24" s="80">
        <v>38.258271190000002</v>
      </c>
      <c r="J24" s="83">
        <v>0.14193490010000001</v>
      </c>
      <c r="K24" s="2"/>
      <c r="L24" s="2"/>
      <c r="M24" s="2"/>
      <c r="N24" s="2"/>
      <c r="O24" s="2"/>
      <c r="P24" s="2"/>
      <c r="Q24" s="2"/>
      <c r="R24" s="166">
        <f t="shared" ref="R24:R38" si="0">(-875.68*J24)+180.27</f>
        <v>55.980446680432003</v>
      </c>
      <c r="S24" s="166"/>
      <c r="T24" s="166"/>
      <c r="U24" s="166"/>
      <c r="V24" s="28">
        <f t="shared" ref="V24:V38" si="1">R24-I24</f>
        <v>17.722175490432001</v>
      </c>
    </row>
    <row r="25" spans="5:25">
      <c r="E25" s="28"/>
      <c r="G25" s="1"/>
      <c r="H25" s="16">
        <f t="shared" ref="H25:H38" si="2">H24+1</f>
        <v>3</v>
      </c>
      <c r="I25" s="80">
        <v>42.672687099999997</v>
      </c>
      <c r="J25" s="83">
        <v>0.1325421493</v>
      </c>
      <c r="K25" s="2"/>
      <c r="L25" s="2"/>
      <c r="M25" s="2"/>
      <c r="N25" s="2"/>
      <c r="O25" s="2"/>
      <c r="P25" s="2"/>
      <c r="Q25" s="2"/>
      <c r="R25" s="166">
        <f t="shared" si="0"/>
        <v>64.205490700976</v>
      </c>
      <c r="S25" s="166"/>
      <c r="T25" s="166"/>
      <c r="U25" s="166"/>
      <c r="V25" s="28">
        <f t="shared" si="1"/>
        <v>21.532803600975999</v>
      </c>
    </row>
    <row r="26" spans="5:25">
      <c r="E26" s="28"/>
      <c r="G26" s="1"/>
      <c r="H26" s="16">
        <f t="shared" si="2"/>
        <v>4</v>
      </c>
      <c r="I26" s="80">
        <v>164.5596152</v>
      </c>
      <c r="J26" s="83">
        <v>7.5333339730000004E-2</v>
      </c>
      <c r="K26" s="2"/>
      <c r="L26" s="2"/>
      <c r="M26" s="2"/>
      <c r="N26" s="2"/>
      <c r="O26" s="2"/>
      <c r="P26" s="2"/>
      <c r="Q26" s="2"/>
      <c r="R26" s="166">
        <f t="shared" si="0"/>
        <v>114.302101065234</v>
      </c>
      <c r="S26" s="166"/>
      <c r="T26" s="166"/>
      <c r="U26" s="166"/>
      <c r="V26" s="28">
        <f t="shared" si="1"/>
        <v>-50.257514134766403</v>
      </c>
    </row>
    <row r="27" spans="5:25">
      <c r="E27" s="28"/>
      <c r="G27" s="1"/>
      <c r="H27" s="16">
        <f t="shared" si="2"/>
        <v>5</v>
      </c>
      <c r="I27" s="80">
        <v>152.01254779999999</v>
      </c>
      <c r="J27" s="83">
        <v>8.1117680669999997E-2</v>
      </c>
      <c r="K27" s="2"/>
      <c r="L27" s="2"/>
      <c r="M27" s="2"/>
      <c r="N27" s="2"/>
      <c r="O27" s="2"/>
      <c r="P27" s="2"/>
      <c r="Q27" s="2"/>
      <c r="R27" s="166">
        <f t="shared" si="0"/>
        <v>109.236869390894</v>
      </c>
      <c r="S27" s="166"/>
      <c r="T27" s="166"/>
      <c r="U27" s="166"/>
      <c r="V27" s="28">
        <f t="shared" si="1"/>
        <v>-42.775678409105602</v>
      </c>
    </row>
    <row r="28" spans="5:25">
      <c r="E28" s="28"/>
      <c r="G28" s="1"/>
      <c r="H28" s="16">
        <f t="shared" si="2"/>
        <v>6</v>
      </c>
      <c r="I28" s="84">
        <v>34.211723280000001</v>
      </c>
      <c r="J28" s="85">
        <v>0.14506581700000001</v>
      </c>
      <c r="K28" s="2"/>
      <c r="L28" s="2"/>
      <c r="M28" s="2"/>
      <c r="N28" s="2"/>
      <c r="O28" s="2"/>
      <c r="P28" s="2"/>
      <c r="Q28" s="2"/>
      <c r="R28" s="166">
        <f t="shared" si="0"/>
        <v>53.238765369440003</v>
      </c>
      <c r="S28" s="166"/>
      <c r="T28" s="166"/>
      <c r="U28" s="166"/>
      <c r="V28" s="28">
        <f t="shared" si="1"/>
        <v>19.027042089439998</v>
      </c>
    </row>
    <row r="29" spans="5:25">
      <c r="E29" s="28"/>
      <c r="G29" s="1"/>
      <c r="H29" s="16">
        <f t="shared" si="2"/>
        <v>7</v>
      </c>
      <c r="I29" s="80">
        <v>73.573598439999998</v>
      </c>
      <c r="J29" s="83">
        <v>0.12628031549999999</v>
      </c>
      <c r="K29" s="2"/>
      <c r="L29" s="2"/>
      <c r="M29" s="2"/>
      <c r="N29" s="2"/>
      <c r="O29" s="2"/>
      <c r="P29" s="2"/>
      <c r="Q29" s="2"/>
      <c r="R29" s="166">
        <f t="shared" si="0"/>
        <v>69.68885332296</v>
      </c>
      <c r="S29" s="166"/>
      <c r="T29" s="166"/>
      <c r="U29" s="166"/>
      <c r="V29" s="28">
        <f t="shared" si="1"/>
        <v>-3.8847451170399698</v>
      </c>
    </row>
    <row r="30" spans="5:25">
      <c r="E30" s="28"/>
      <c r="F30" s="28"/>
      <c r="G30" s="2"/>
      <c r="H30" s="16">
        <f t="shared" si="2"/>
        <v>8</v>
      </c>
      <c r="I30" s="80">
        <v>80.930958290000007</v>
      </c>
      <c r="J30" s="83">
        <v>9.3927507399999999E-2</v>
      </c>
      <c r="K30" s="2"/>
      <c r="L30" s="2"/>
      <c r="M30" s="2"/>
      <c r="N30" s="2"/>
      <c r="O30" s="2"/>
      <c r="P30" s="2"/>
      <c r="Q30" s="2"/>
      <c r="R30" s="166">
        <f t="shared" si="0"/>
        <v>98.019560319967994</v>
      </c>
      <c r="S30" s="166"/>
      <c r="T30" s="166"/>
      <c r="U30" s="166"/>
      <c r="V30" s="28">
        <f t="shared" si="1"/>
        <v>17.088602029968001</v>
      </c>
    </row>
    <row r="31" spans="5:25">
      <c r="E31" s="28"/>
      <c r="F31" s="28"/>
      <c r="G31" s="2"/>
      <c r="H31" s="16">
        <f t="shared" si="2"/>
        <v>9</v>
      </c>
      <c r="I31" s="80">
        <v>36.786799219999999</v>
      </c>
      <c r="J31" s="83">
        <v>0.13880398320000001</v>
      </c>
      <c r="K31" s="2"/>
      <c r="L31" s="2"/>
      <c r="M31" s="2"/>
      <c r="N31" s="2"/>
      <c r="O31" s="2"/>
      <c r="P31" s="2"/>
      <c r="Q31" s="2"/>
      <c r="R31" s="166">
        <f t="shared" si="0"/>
        <v>58.722127991424003</v>
      </c>
      <c r="S31" s="166"/>
      <c r="T31" s="166"/>
      <c r="U31" s="166"/>
      <c r="V31" s="28">
        <f t="shared" si="1"/>
        <v>21.935328771424</v>
      </c>
    </row>
    <row r="32" spans="5:25">
      <c r="G32" s="1"/>
      <c r="H32" s="16">
        <f t="shared" si="2"/>
        <v>10</v>
      </c>
      <c r="I32" s="80">
        <v>62.083854819999999</v>
      </c>
      <c r="J32" s="83">
        <v>0.13050705330000001</v>
      </c>
      <c r="K32" s="2"/>
      <c r="L32" s="1"/>
      <c r="M32" s="1"/>
      <c r="N32" s="1"/>
      <c r="O32" s="1"/>
      <c r="P32" s="1"/>
      <c r="Q32" s="1"/>
      <c r="R32" s="166">
        <f t="shared" si="0"/>
        <v>65.987583566256006</v>
      </c>
      <c r="S32" s="166"/>
      <c r="T32" s="166"/>
      <c r="U32" s="166"/>
      <c r="V32" s="28">
        <f t="shared" si="1"/>
        <v>3.90372874625601</v>
      </c>
    </row>
    <row r="33" spans="7:22">
      <c r="G33" s="1"/>
      <c r="H33" s="16">
        <f t="shared" si="2"/>
        <v>11</v>
      </c>
      <c r="I33" s="80">
        <v>26.486495439999999</v>
      </c>
      <c r="J33" s="83">
        <v>0.1774186251</v>
      </c>
      <c r="K33" s="2"/>
      <c r="L33" s="1"/>
      <c r="M33" s="1"/>
      <c r="N33" s="1"/>
      <c r="O33" s="1"/>
      <c r="P33" s="1"/>
      <c r="Q33" s="1"/>
      <c r="R33" s="166">
        <f t="shared" si="0"/>
        <v>24.908058372431999</v>
      </c>
      <c r="S33" s="166"/>
      <c r="T33" s="166"/>
      <c r="U33" s="166"/>
      <c r="V33" s="28">
        <f t="shared" si="1"/>
        <v>-1.57843706756799</v>
      </c>
    </row>
    <row r="34" spans="7:22">
      <c r="G34" s="1"/>
      <c r="H34" s="16">
        <f t="shared" si="2"/>
        <v>12</v>
      </c>
      <c r="I34" s="80">
        <v>34.407919540000002</v>
      </c>
      <c r="J34" s="83">
        <v>0.16552114079999999</v>
      </c>
      <c r="K34" s="2"/>
      <c r="L34" s="1"/>
      <c r="M34" s="1"/>
      <c r="N34" s="1"/>
      <c r="O34" s="1"/>
      <c r="P34" s="1"/>
      <c r="Q34" s="1"/>
      <c r="R34" s="166">
        <f t="shared" si="0"/>
        <v>35.326447424256003</v>
      </c>
      <c r="S34" s="166"/>
      <c r="T34" s="166"/>
      <c r="U34" s="166"/>
      <c r="V34" s="28">
        <f t="shared" si="1"/>
        <v>0.91852788425602905</v>
      </c>
    </row>
    <row r="35" spans="7:22">
      <c r="G35" s="1"/>
      <c r="H35" s="16">
        <f t="shared" si="2"/>
        <v>13</v>
      </c>
      <c r="I35" s="80">
        <v>27.248507709999998</v>
      </c>
      <c r="J35" s="83">
        <v>0.16597586919999999</v>
      </c>
      <c r="K35" s="2"/>
      <c r="L35" s="1"/>
      <c r="M35" s="1"/>
      <c r="N35" s="1"/>
      <c r="O35" s="1"/>
      <c r="P35" s="1"/>
      <c r="Q35" s="1"/>
      <c r="R35" s="166">
        <f t="shared" si="0"/>
        <v>34.928250858943997</v>
      </c>
      <c r="S35" s="166"/>
      <c r="T35" s="166"/>
      <c r="U35" s="166"/>
      <c r="V35" s="28">
        <f t="shared" si="1"/>
        <v>7.6797431489440404</v>
      </c>
    </row>
    <row r="36" spans="7:22">
      <c r="G36" s="1"/>
      <c r="H36" s="16">
        <f t="shared" si="2"/>
        <v>14</v>
      </c>
      <c r="I36" s="80">
        <v>27.675935280000001</v>
      </c>
      <c r="J36" s="83">
        <v>0.161277009</v>
      </c>
      <c r="K36" s="2"/>
      <c r="L36" s="1"/>
      <c r="M36" s="1"/>
      <c r="N36" s="1"/>
      <c r="O36" s="1"/>
      <c r="P36" s="1"/>
      <c r="Q36" s="1"/>
      <c r="R36" s="166">
        <f t="shared" si="0"/>
        <v>39.042948758880001</v>
      </c>
      <c r="S36" s="166"/>
      <c r="T36" s="166"/>
      <c r="U36" s="166"/>
      <c r="V36" s="28">
        <f t="shared" si="1"/>
        <v>11.367013478880001</v>
      </c>
    </row>
    <row r="37" spans="7:22">
      <c r="G37" s="1"/>
      <c r="H37" s="16">
        <f t="shared" si="2"/>
        <v>15</v>
      </c>
      <c r="I37" s="80">
        <v>18.84955592</v>
      </c>
      <c r="J37" s="83">
        <v>0.1884394526</v>
      </c>
      <c r="K37" s="2"/>
      <c r="L37" s="1"/>
      <c r="M37" s="1"/>
      <c r="N37" s="1"/>
      <c r="O37" s="1"/>
      <c r="P37" s="1"/>
      <c r="Q37" s="1"/>
      <c r="R37" s="166">
        <f t="shared" si="0"/>
        <v>15.257340147232</v>
      </c>
      <c r="S37" s="166"/>
      <c r="T37" s="166"/>
      <c r="U37" s="166"/>
      <c r="V37" s="28">
        <f t="shared" si="1"/>
        <v>-3.59221577276799</v>
      </c>
    </row>
    <row r="38" spans="7:22">
      <c r="G38" s="1"/>
      <c r="H38" s="16">
        <f t="shared" si="2"/>
        <v>16</v>
      </c>
      <c r="I38" s="80">
        <v>14.95996502</v>
      </c>
      <c r="J38" s="83">
        <v>0.2387324146</v>
      </c>
      <c r="K38" s="2"/>
      <c r="L38" s="1"/>
      <c r="M38" s="1"/>
      <c r="N38" s="1"/>
      <c r="O38" s="1"/>
      <c r="P38" s="1"/>
      <c r="Q38" s="1"/>
      <c r="R38" s="166">
        <f t="shared" si="0"/>
        <v>-28.783200816928002</v>
      </c>
      <c r="S38" s="166"/>
      <c r="T38" s="166"/>
      <c r="U38" s="166"/>
      <c r="V38" s="28">
        <f t="shared" si="1"/>
        <v>-43.743165836928</v>
      </c>
    </row>
    <row r="39" spans="7:22">
      <c r="G39" s="1"/>
      <c r="H39" s="57"/>
      <c r="I39" s="57"/>
      <c r="J39" s="57"/>
      <c r="K39" s="57"/>
      <c r="L39" s="1"/>
      <c r="M39" s="1"/>
      <c r="N39" s="1"/>
      <c r="O39" s="1"/>
      <c r="P39" s="1"/>
      <c r="Q39" s="1"/>
      <c r="R39" s="1"/>
      <c r="S39" s="1"/>
      <c r="T39" s="1"/>
      <c r="U39" s="1"/>
    </row>
    <row r="40" spans="7:22">
      <c r="H40" s="2"/>
      <c r="K40" s="2"/>
    </row>
    <row r="41" spans="7:22">
      <c r="H41" s="2"/>
      <c r="K41" s="2"/>
    </row>
    <row r="42" spans="7:22">
      <c r="H42" s="2"/>
      <c r="K42" s="2"/>
    </row>
    <row r="43" spans="7:22">
      <c r="H43" s="2"/>
      <c r="K43" s="86"/>
      <c r="L43" s="87"/>
      <c r="M43" s="87"/>
      <c r="N43" s="87"/>
      <c r="O43" s="87"/>
      <c r="P43" s="87"/>
      <c r="Q43" s="22"/>
      <c r="R43" s="37"/>
    </row>
    <row r="44" spans="7:22">
      <c r="H44" s="2"/>
      <c r="K44" s="88" t="s">
        <v>37</v>
      </c>
      <c r="L44" s="89">
        <v>16</v>
      </c>
      <c r="M44" s="90">
        <f>L45</f>
        <v>2.2682847935999999</v>
      </c>
      <c r="N44" s="28" t="str">
        <f>K45</f>
        <v>∑φi</v>
      </c>
      <c r="O44" s="28"/>
      <c r="P44" s="28" t="s">
        <v>38</v>
      </c>
      <c r="Q44" s="96">
        <f>N23</f>
        <v>897.99172891000001</v>
      </c>
      <c r="R44" s="39"/>
    </row>
    <row r="45" spans="7:22">
      <c r="H45" s="2"/>
      <c r="K45" s="88" t="s">
        <v>28</v>
      </c>
      <c r="L45" s="91">
        <f>K23</f>
        <v>2.2682847935999999</v>
      </c>
      <c r="M45" s="92">
        <f>L23</f>
        <v>0.348126171220281</v>
      </c>
      <c r="N45" s="28" t="s">
        <v>39</v>
      </c>
      <c r="O45" s="28"/>
      <c r="P45" s="28" t="s">
        <v>31</v>
      </c>
      <c r="Q45" s="97">
        <f>P23</f>
        <v>104.051304654898</v>
      </c>
      <c r="R45" s="39"/>
    </row>
    <row r="46" spans="7:22">
      <c r="H46" s="2"/>
      <c r="K46" s="88"/>
      <c r="L46" s="28"/>
      <c r="M46" s="28"/>
      <c r="N46" s="28"/>
      <c r="O46" s="28"/>
      <c r="P46" s="28"/>
      <c r="R46" s="39"/>
    </row>
    <row r="47" spans="7:22">
      <c r="H47" s="2"/>
      <c r="K47" s="93"/>
      <c r="R47" s="39"/>
    </row>
    <row r="48" spans="7:22">
      <c r="H48" s="2"/>
      <c r="K48" s="93"/>
      <c r="P48" s="175" t="s">
        <v>40</v>
      </c>
      <c r="Q48" s="47">
        <f t="array" ref="Q48:R49">MINVERSE(L44:M45)</f>
        <v>0.81930771657261703</v>
      </c>
      <c r="R48" s="48">
        <v>-5.3383611702231502</v>
      </c>
    </row>
    <row r="49" spans="8:18">
      <c r="H49" s="2"/>
      <c r="I49" s="2"/>
      <c r="J49" s="2"/>
      <c r="K49" s="93"/>
      <c r="P49" s="175"/>
      <c r="Q49" s="7">
        <v>-5.3383611702231502</v>
      </c>
      <c r="R49" s="49">
        <v>37.6556678264417</v>
      </c>
    </row>
    <row r="50" spans="8:18">
      <c r="K50" s="25"/>
      <c r="R50" s="39"/>
    </row>
    <row r="51" spans="8:18">
      <c r="K51" s="25"/>
      <c r="R51" s="39"/>
    </row>
    <row r="52" spans="8:18">
      <c r="K52" s="25"/>
      <c r="M52" t="s">
        <v>41</v>
      </c>
      <c r="N52">
        <f t="array" ref="N52:N53">MMULT(Q48:R49,Q44:Q45)</f>
        <v>180.26810843358101</v>
      </c>
      <c r="R52" s="39"/>
    </row>
    <row r="53" spans="8:18">
      <c r="K53" s="25"/>
      <c r="M53" t="s">
        <v>2</v>
      </c>
      <c r="N53">
        <v>-875.68281180196902</v>
      </c>
      <c r="R53" s="39"/>
    </row>
    <row r="54" spans="8:18">
      <c r="K54" s="26"/>
      <c r="L54" s="27"/>
      <c r="M54" s="27"/>
      <c r="N54" s="27"/>
      <c r="O54" s="27"/>
      <c r="P54" s="27"/>
      <c r="Q54" s="27"/>
      <c r="R54" s="50"/>
    </row>
  </sheetData>
  <mergeCells count="29">
    <mergeCell ref="H10:I13"/>
    <mergeCell ref="P48:P49"/>
    <mergeCell ref="R19:U22"/>
    <mergeCell ref="L19:M22"/>
    <mergeCell ref="N19:O22"/>
    <mergeCell ref="P19:Q22"/>
    <mergeCell ref="R35:U35"/>
    <mergeCell ref="R36:U36"/>
    <mergeCell ref="R37:U37"/>
    <mergeCell ref="R38:U38"/>
    <mergeCell ref="H19:H22"/>
    <mergeCell ref="I19:I22"/>
    <mergeCell ref="J19:J22"/>
    <mergeCell ref="K19:K22"/>
    <mergeCell ref="R30:U30"/>
    <mergeCell ref="R31:U31"/>
    <mergeCell ref="R32:U32"/>
    <mergeCell ref="R33:U33"/>
    <mergeCell ref="R34:U34"/>
    <mergeCell ref="R25:U25"/>
    <mergeCell ref="R26:U26"/>
    <mergeCell ref="R27:U27"/>
    <mergeCell ref="R28:U28"/>
    <mergeCell ref="R29:U29"/>
    <mergeCell ref="L23:M23"/>
    <mergeCell ref="N23:O23"/>
    <mergeCell ref="P23:Q23"/>
    <mergeCell ref="R23:U23"/>
    <mergeCell ref="R24:U24"/>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2:AD60"/>
  <sheetViews>
    <sheetView topLeftCell="H26" zoomScale="72" zoomScaleNormal="48" workbookViewId="0">
      <selection activeCell="M28" sqref="M28"/>
    </sheetView>
  </sheetViews>
  <sheetFormatPr defaultColWidth="9" defaultRowHeight="14.4"/>
  <cols>
    <col min="5" max="5" width="18.44140625" customWidth="1"/>
    <col min="6" max="6" width="25.33203125" customWidth="1"/>
    <col min="7" max="7" width="12.33203125" hidden="1" customWidth="1"/>
    <col min="8" max="8" width="21.33203125" customWidth="1"/>
    <col min="9" max="9" width="24.44140625" customWidth="1"/>
    <col min="10" max="10" width="30.21875" customWidth="1"/>
    <col min="11" max="11" width="21.6640625" customWidth="1"/>
    <col min="13" max="13" width="10.21875" customWidth="1"/>
    <col min="15" max="15" width="9.88671875" customWidth="1"/>
    <col min="16" max="16" width="17.109375" customWidth="1"/>
    <col min="18" max="18" width="23.5546875" customWidth="1"/>
    <col min="19" max="19" width="18.6640625" customWidth="1"/>
    <col min="20" max="20" width="18.33203125" customWidth="1"/>
    <col min="21" max="21" width="10.33203125" customWidth="1"/>
    <col min="22" max="22" width="19.5546875" customWidth="1"/>
    <col min="23" max="23" width="16.88671875" customWidth="1"/>
    <col min="24" max="24" width="18.44140625" customWidth="1"/>
    <col min="25" max="25" width="13.109375" customWidth="1"/>
  </cols>
  <sheetData>
    <row r="2" spans="4:30">
      <c r="D2" s="10"/>
      <c r="E2" s="10"/>
      <c r="F2" s="10"/>
      <c r="G2" s="10"/>
      <c r="H2" s="204" t="s">
        <v>42</v>
      </c>
      <c r="I2" s="205"/>
      <c r="J2" s="10"/>
      <c r="K2" s="10"/>
      <c r="L2" s="10"/>
      <c r="M2" s="10"/>
      <c r="N2" s="10"/>
      <c r="O2" s="10"/>
      <c r="P2" s="10"/>
      <c r="Q2" s="10"/>
      <c r="R2" s="10"/>
      <c r="S2" s="10"/>
      <c r="T2" s="10"/>
      <c r="U2" s="10"/>
      <c r="V2" s="10"/>
      <c r="W2" s="10"/>
      <c r="X2" s="10"/>
      <c r="Y2" s="10"/>
      <c r="Z2" s="10"/>
      <c r="AA2" s="10"/>
      <c r="AB2" s="10"/>
    </row>
    <row r="3" spans="4:30">
      <c r="D3" s="10"/>
      <c r="E3" s="10"/>
      <c r="F3" s="10"/>
      <c r="G3" s="10"/>
      <c r="H3" s="205"/>
      <c r="I3" s="205"/>
      <c r="J3" s="10"/>
      <c r="K3" s="10"/>
      <c r="L3" s="10"/>
      <c r="M3" s="10"/>
      <c r="N3" s="10"/>
      <c r="O3" s="10"/>
      <c r="P3" s="10"/>
      <c r="Q3" s="10"/>
      <c r="R3" s="10"/>
      <c r="S3" s="10"/>
      <c r="T3" s="10"/>
      <c r="U3" s="10"/>
      <c r="V3" s="10"/>
      <c r="W3" s="10"/>
      <c r="X3" s="10"/>
      <c r="Y3" s="10"/>
      <c r="Z3" s="10"/>
      <c r="AA3" s="10"/>
      <c r="AB3" s="10"/>
    </row>
    <row r="4" spans="4:30">
      <c r="D4" s="10"/>
      <c r="E4" s="10"/>
      <c r="F4" s="10"/>
      <c r="G4" s="10"/>
      <c r="H4" s="205"/>
      <c r="I4" s="205"/>
      <c r="J4" s="10"/>
      <c r="K4" s="10"/>
      <c r="L4" s="10"/>
      <c r="M4" s="10"/>
      <c r="N4" s="10"/>
      <c r="O4" s="10"/>
      <c r="P4" s="10"/>
      <c r="Q4" s="10"/>
      <c r="R4" s="10"/>
      <c r="S4" s="10"/>
      <c r="T4" s="10"/>
      <c r="U4" s="10"/>
      <c r="V4" s="10"/>
      <c r="W4" s="10"/>
      <c r="X4" s="10"/>
      <c r="Y4" s="10"/>
      <c r="Z4" s="10"/>
      <c r="AA4" s="10"/>
      <c r="AB4" s="10"/>
    </row>
    <row r="5" spans="4:30">
      <c r="D5" s="10"/>
      <c r="E5" s="10"/>
      <c r="F5" s="10"/>
      <c r="G5" s="10"/>
      <c r="H5" s="205"/>
      <c r="I5" s="205"/>
      <c r="J5" s="10"/>
      <c r="K5" s="10"/>
      <c r="L5" s="10"/>
      <c r="M5" s="10"/>
      <c r="N5" s="10"/>
      <c r="O5" s="10"/>
      <c r="P5" s="10"/>
      <c r="Q5" s="10"/>
      <c r="R5" s="10"/>
      <c r="S5" s="10"/>
      <c r="T5" s="10"/>
      <c r="U5" s="10"/>
      <c r="V5" s="10"/>
      <c r="W5" s="10"/>
      <c r="X5" s="10"/>
      <c r="Y5" s="10"/>
      <c r="Z5" s="10"/>
      <c r="AA5" s="10"/>
      <c r="AB5" s="10"/>
    </row>
    <row r="6" spans="4:30">
      <c r="D6" s="10"/>
      <c r="E6" s="10"/>
      <c r="F6" s="10"/>
      <c r="G6" s="10"/>
      <c r="H6" s="205"/>
      <c r="I6" s="205"/>
      <c r="J6" s="10"/>
      <c r="K6" s="10"/>
      <c r="L6" s="10"/>
      <c r="M6" s="10"/>
      <c r="N6" s="10"/>
      <c r="O6" s="10"/>
      <c r="P6" s="10"/>
      <c r="Q6" s="10"/>
      <c r="R6" s="10"/>
      <c r="S6" s="10"/>
      <c r="T6" s="10"/>
      <c r="U6" s="10"/>
      <c r="V6" s="10"/>
      <c r="W6" s="10"/>
      <c r="X6" s="10"/>
      <c r="Y6" s="10"/>
      <c r="Z6" s="10"/>
      <c r="AA6" s="10"/>
      <c r="AB6" s="10"/>
    </row>
    <row r="7" spans="4:30">
      <c r="D7" s="10"/>
      <c r="E7" s="10"/>
      <c r="F7" s="2"/>
      <c r="G7" s="51"/>
      <c r="H7" s="52"/>
      <c r="I7" s="52"/>
      <c r="J7" s="10"/>
      <c r="K7" s="10"/>
      <c r="L7" s="10"/>
      <c r="M7" s="10"/>
      <c r="N7" s="10"/>
      <c r="O7" s="10"/>
      <c r="P7" s="10"/>
      <c r="Q7" s="10"/>
      <c r="R7" s="10"/>
      <c r="S7" s="10"/>
      <c r="T7" s="10"/>
      <c r="U7" s="10"/>
      <c r="V7" s="10"/>
      <c r="W7" s="10"/>
      <c r="X7" s="10"/>
      <c r="Y7" s="10"/>
      <c r="Z7" s="10"/>
      <c r="AA7" s="10"/>
      <c r="AB7" s="10"/>
    </row>
    <row r="8" spans="4:30">
      <c r="D8" s="10"/>
      <c r="E8" s="10"/>
      <c r="F8" s="2"/>
      <c r="G8" s="10"/>
      <c r="H8" s="28"/>
      <c r="I8" s="51"/>
      <c r="J8" s="51"/>
      <c r="K8" s="28"/>
      <c r="L8" s="28"/>
      <c r="M8" s="28"/>
      <c r="N8" s="28"/>
      <c r="O8" s="28"/>
      <c r="P8" s="28"/>
      <c r="Q8" s="28"/>
      <c r="R8" s="28"/>
      <c r="S8" s="28"/>
      <c r="T8" s="28"/>
      <c r="U8" s="28"/>
      <c r="V8" s="28"/>
      <c r="W8" s="10"/>
      <c r="X8" s="10"/>
      <c r="Y8" s="10"/>
      <c r="Z8" s="10"/>
      <c r="AA8" s="10"/>
      <c r="AB8" s="10"/>
      <c r="AC8" s="10"/>
      <c r="AD8" s="10"/>
    </row>
    <row r="9" spans="4:30">
      <c r="D9" s="10"/>
      <c r="E9" s="10"/>
      <c r="F9" s="2"/>
      <c r="G9" s="1"/>
      <c r="H9" s="2"/>
      <c r="I9" s="11"/>
      <c r="J9" s="12"/>
      <c r="K9" s="2"/>
      <c r="L9" s="2"/>
      <c r="M9" s="2"/>
      <c r="N9" s="2"/>
      <c r="O9" s="2"/>
      <c r="P9" s="2"/>
      <c r="Q9" s="2"/>
      <c r="R9" s="2"/>
      <c r="S9" s="2"/>
      <c r="T9" s="2"/>
      <c r="U9" s="2"/>
      <c r="V9" s="28"/>
      <c r="W9" s="10"/>
      <c r="X9" s="10"/>
      <c r="Y9" s="10"/>
      <c r="Z9" s="10"/>
      <c r="AA9" s="10"/>
      <c r="AB9" s="10"/>
      <c r="AC9" s="10"/>
      <c r="AD9" s="10"/>
    </row>
    <row r="10" spans="4:30">
      <c r="D10" s="10"/>
      <c r="E10" s="10"/>
      <c r="F10" s="2"/>
      <c r="G10" s="53"/>
      <c r="H10" s="188" t="s">
        <v>10</v>
      </c>
      <c r="I10" s="190" t="s">
        <v>23</v>
      </c>
      <c r="J10" s="193" t="s">
        <v>20</v>
      </c>
      <c r="K10" s="194" t="s">
        <v>28</v>
      </c>
      <c r="L10" s="195" t="s">
        <v>29</v>
      </c>
      <c r="M10" s="196"/>
      <c r="N10" s="195" t="s">
        <v>43</v>
      </c>
      <c r="O10" s="196"/>
      <c r="P10" s="195" t="s">
        <v>44</v>
      </c>
      <c r="Q10" s="196"/>
      <c r="R10" s="201" t="s">
        <v>45</v>
      </c>
      <c r="S10" s="202"/>
      <c r="T10" s="202"/>
      <c r="U10" s="202"/>
      <c r="V10" s="28"/>
      <c r="W10" s="10"/>
      <c r="X10" s="10"/>
      <c r="Y10" s="10"/>
      <c r="Z10" s="10"/>
      <c r="AA10" s="10"/>
      <c r="AB10" s="10"/>
      <c r="AC10" s="10"/>
      <c r="AD10" s="10"/>
    </row>
    <row r="11" spans="4:30">
      <c r="D11" s="10"/>
      <c r="E11" s="10"/>
      <c r="F11" s="186" t="s">
        <v>46</v>
      </c>
      <c r="G11" s="53"/>
      <c r="H11" s="189"/>
      <c r="I11" s="191"/>
      <c r="J11" s="191"/>
      <c r="K11" s="189"/>
      <c r="L11" s="197"/>
      <c r="M11" s="198"/>
      <c r="N11" s="197"/>
      <c r="O11" s="198"/>
      <c r="P11" s="197"/>
      <c r="Q11" s="198"/>
      <c r="R11" s="203"/>
      <c r="S11" s="202"/>
      <c r="T11" s="202"/>
      <c r="U11" s="202"/>
      <c r="V11" s="28"/>
      <c r="W11" s="10"/>
      <c r="X11" s="10"/>
      <c r="Y11" s="10"/>
      <c r="Z11" s="10"/>
      <c r="AA11" s="10"/>
      <c r="AB11" s="10"/>
      <c r="AC11" s="10"/>
      <c r="AD11" s="10"/>
    </row>
    <row r="12" spans="4:30">
      <c r="D12" s="10"/>
      <c r="E12" s="10"/>
      <c r="F12" s="187"/>
      <c r="G12" s="53"/>
      <c r="H12" s="189"/>
      <c r="I12" s="191"/>
      <c r="J12" s="191"/>
      <c r="K12" s="189"/>
      <c r="L12" s="197"/>
      <c r="M12" s="198"/>
      <c r="N12" s="197"/>
      <c r="O12" s="198"/>
      <c r="P12" s="197"/>
      <c r="Q12" s="198"/>
      <c r="R12" s="203"/>
      <c r="S12" s="202"/>
      <c r="T12" s="202"/>
      <c r="U12" s="202"/>
      <c r="V12" s="28"/>
      <c r="W12" s="10"/>
      <c r="X12" s="10"/>
      <c r="Y12" s="10"/>
      <c r="Z12" s="10"/>
      <c r="AA12" s="10"/>
      <c r="AB12" s="10"/>
      <c r="AC12" s="10"/>
      <c r="AD12" s="10"/>
    </row>
    <row r="13" spans="4:30">
      <c r="D13" s="10"/>
      <c r="E13" s="10"/>
      <c r="F13" s="187"/>
      <c r="G13" s="53"/>
      <c r="H13" s="189"/>
      <c r="I13" s="192"/>
      <c r="J13" s="191"/>
      <c r="K13" s="189"/>
      <c r="L13" s="199"/>
      <c r="M13" s="200"/>
      <c r="N13" s="199"/>
      <c r="O13" s="200"/>
      <c r="P13" s="199"/>
      <c r="Q13" s="200"/>
      <c r="R13" s="203"/>
      <c r="S13" s="202"/>
      <c r="T13" s="202"/>
      <c r="U13" s="202"/>
      <c r="V13" s="64" t="s">
        <v>33</v>
      </c>
      <c r="W13" s="63" t="s">
        <v>34</v>
      </c>
      <c r="X13" s="63" t="s">
        <v>47</v>
      </c>
      <c r="Y13" s="63" t="s">
        <v>36</v>
      </c>
      <c r="Z13" s="63"/>
      <c r="AA13" s="10"/>
      <c r="AB13" s="10"/>
      <c r="AC13" s="10"/>
      <c r="AD13" s="10"/>
    </row>
    <row r="14" spans="4:30">
      <c r="D14" s="10"/>
      <c r="E14" s="10"/>
      <c r="F14" s="54">
        <f>LN(I14)</f>
        <v>4.1474633548234303</v>
      </c>
      <c r="G14" s="1"/>
      <c r="H14" s="16">
        <v>1</v>
      </c>
      <c r="I14" s="13">
        <v>63.273294659999998</v>
      </c>
      <c r="J14" s="58">
        <v>0.1054075361</v>
      </c>
      <c r="K14" s="15">
        <f>SUM(J14:J29)</f>
        <v>2.2682847935999999</v>
      </c>
      <c r="L14" s="162">
        <f>SUMSQ(J14:J29)</f>
        <v>0.348126171220281</v>
      </c>
      <c r="M14" s="163"/>
      <c r="N14" s="164">
        <f>SUM(F14:F29)</f>
        <v>60.713045022732302</v>
      </c>
      <c r="O14" s="165"/>
      <c r="P14" s="165">
        <f>SUMPRODUCT(F14:F29,J14:J29)</f>
        <v>8.20133663784992</v>
      </c>
      <c r="Q14" s="165"/>
      <c r="R14" s="166">
        <f>387.99*EXP(-15.28*J14)</f>
        <v>77.505772269868302</v>
      </c>
      <c r="S14" s="166"/>
      <c r="T14" s="166"/>
      <c r="U14" s="166"/>
      <c r="V14" s="28">
        <f>R14-I14</f>
        <v>14.232477609868299</v>
      </c>
      <c r="W14" s="10">
        <f>SUMSQ(V14:V29)</f>
        <v>4396.2439118084003</v>
      </c>
      <c r="X14" s="10">
        <f>W14/R37</f>
        <v>274.76524448802502</v>
      </c>
      <c r="Y14" s="10">
        <f>SQRT(X14)</f>
        <v>16.5760442955497</v>
      </c>
      <c r="Z14" s="10"/>
      <c r="AA14" s="10"/>
      <c r="AB14" s="10"/>
      <c r="AC14" s="10"/>
      <c r="AD14" s="10"/>
    </row>
    <row r="15" spans="4:30">
      <c r="D15" s="10"/>
      <c r="E15" s="10"/>
      <c r="F15" s="54">
        <f t="shared" ref="F15:F29" si="0">LN(I15)</f>
        <v>3.6443597771574301</v>
      </c>
      <c r="G15" s="1"/>
      <c r="H15" s="16">
        <f>H14+1</f>
        <v>2</v>
      </c>
      <c r="I15" s="13">
        <v>38.258271190000002</v>
      </c>
      <c r="J15" s="17">
        <v>0.14193490010000001</v>
      </c>
      <c r="K15" s="2"/>
      <c r="L15" s="2"/>
      <c r="M15" s="2"/>
      <c r="N15" s="2"/>
      <c r="O15" s="2"/>
      <c r="P15" s="2"/>
      <c r="Q15" s="2"/>
      <c r="R15" s="166">
        <f t="shared" ref="R15:R29" si="1">387.99*EXP(-15.28*J15)</f>
        <v>44.3545054708853</v>
      </c>
      <c r="S15" s="166"/>
      <c r="T15" s="166"/>
      <c r="U15" s="166"/>
      <c r="V15" s="28">
        <f t="shared" ref="V15:V29" si="2">R15-I15</f>
        <v>6.09623428088533</v>
      </c>
      <c r="W15" s="10"/>
      <c r="X15" s="10"/>
      <c r="Y15" s="10"/>
      <c r="Z15" s="10"/>
      <c r="AA15" s="10"/>
      <c r="AB15" s="10"/>
      <c r="AC15" s="10"/>
      <c r="AD15" s="10"/>
    </row>
    <row r="16" spans="4:30">
      <c r="D16" s="10"/>
      <c r="E16" s="10"/>
      <c r="F16" s="54">
        <f t="shared" si="0"/>
        <v>3.7535590692035399</v>
      </c>
      <c r="G16" s="1"/>
      <c r="H16" s="16">
        <f t="shared" ref="H16:H29" si="3">H15+1</f>
        <v>3</v>
      </c>
      <c r="I16" s="13">
        <v>42.672687099999997</v>
      </c>
      <c r="J16" s="17">
        <v>0.1325421493</v>
      </c>
      <c r="K16" s="2"/>
      <c r="L16" s="2"/>
      <c r="M16" s="2"/>
      <c r="N16" s="2"/>
      <c r="O16" s="2"/>
      <c r="P16" s="2"/>
      <c r="Q16" s="2"/>
      <c r="R16" s="166">
        <f t="shared" si="1"/>
        <v>51.199794828996097</v>
      </c>
      <c r="S16" s="166"/>
      <c r="T16" s="166"/>
      <c r="U16" s="166"/>
      <c r="V16" s="28">
        <f t="shared" si="2"/>
        <v>8.5271077289960697</v>
      </c>
      <c r="W16" s="10"/>
      <c r="X16" s="10"/>
      <c r="Y16" s="10"/>
      <c r="Z16" s="10"/>
      <c r="AA16" s="10"/>
      <c r="AB16" s="10"/>
      <c r="AC16" s="10"/>
      <c r="AD16" s="10"/>
    </row>
    <row r="17" spans="4:30">
      <c r="D17" s="10"/>
      <c r="E17" s="10"/>
      <c r="F17" s="54">
        <f t="shared" si="0"/>
        <v>5.1032729069851399</v>
      </c>
      <c r="G17" s="1"/>
      <c r="H17" s="16">
        <f t="shared" si="3"/>
        <v>4</v>
      </c>
      <c r="I17" s="13">
        <v>164.5596152</v>
      </c>
      <c r="J17" s="17">
        <v>7.5333339730000004E-2</v>
      </c>
      <c r="K17" s="2"/>
      <c r="L17" s="2"/>
      <c r="M17" s="2"/>
      <c r="N17" s="2"/>
      <c r="O17" s="2"/>
      <c r="P17" s="2"/>
      <c r="Q17" s="2"/>
      <c r="R17" s="166">
        <f t="shared" si="1"/>
        <v>122.717643479789</v>
      </c>
      <c r="S17" s="166"/>
      <c r="T17" s="166"/>
      <c r="U17" s="166"/>
      <c r="V17" s="28">
        <f t="shared" si="2"/>
        <v>-41.841971720211099</v>
      </c>
      <c r="W17" s="10"/>
      <c r="X17" s="10"/>
      <c r="Y17" s="10"/>
      <c r="Z17" s="10"/>
      <c r="AA17" s="10"/>
      <c r="AB17" s="10"/>
      <c r="AC17" s="10"/>
      <c r="AD17" s="10"/>
    </row>
    <row r="18" spans="4:30">
      <c r="D18" s="10"/>
      <c r="E18" s="10"/>
      <c r="F18" s="54">
        <f t="shared" si="0"/>
        <v>5.02396306875489</v>
      </c>
      <c r="G18" s="1"/>
      <c r="H18" s="16">
        <f t="shared" si="3"/>
        <v>5</v>
      </c>
      <c r="I18" s="13">
        <v>152.01254779999999</v>
      </c>
      <c r="J18" s="17">
        <v>8.1117680669999997E-2</v>
      </c>
      <c r="K18" s="2"/>
      <c r="L18" s="2"/>
      <c r="M18" s="2"/>
      <c r="N18" s="2"/>
      <c r="O18" s="2"/>
      <c r="P18" s="2"/>
      <c r="Q18" s="2"/>
      <c r="R18" s="166">
        <f t="shared" si="1"/>
        <v>112.336789183704</v>
      </c>
      <c r="S18" s="166"/>
      <c r="T18" s="166"/>
      <c r="U18" s="166"/>
      <c r="V18" s="28">
        <f t="shared" si="2"/>
        <v>-39.675758616296299</v>
      </c>
      <c r="W18" s="10"/>
      <c r="X18" s="10"/>
      <c r="Y18" s="10"/>
      <c r="Z18" s="10"/>
      <c r="AA18" s="10"/>
      <c r="AB18" s="10"/>
      <c r="AC18" s="10"/>
      <c r="AD18" s="10"/>
    </row>
    <row r="19" spans="4:30">
      <c r="D19" s="10"/>
      <c r="E19" s="10"/>
      <c r="F19" s="54">
        <f t="shared" si="0"/>
        <v>3.53256837129579</v>
      </c>
      <c r="G19" s="1"/>
      <c r="H19" s="16">
        <f t="shared" si="3"/>
        <v>6</v>
      </c>
      <c r="I19" s="18">
        <v>34.211723280000001</v>
      </c>
      <c r="J19" s="19">
        <v>0.14506581700000001</v>
      </c>
      <c r="K19" s="2"/>
      <c r="L19" s="2"/>
      <c r="M19" s="2"/>
      <c r="N19" s="2"/>
      <c r="O19" s="2"/>
      <c r="P19" s="2"/>
      <c r="Q19" s="2"/>
      <c r="R19" s="166">
        <f t="shared" si="1"/>
        <v>42.282525093369003</v>
      </c>
      <c r="S19" s="166"/>
      <c r="T19" s="166"/>
      <c r="U19" s="166"/>
      <c r="V19" s="28">
        <f t="shared" si="2"/>
        <v>8.070801813369</v>
      </c>
      <c r="W19" s="10"/>
      <c r="X19" s="10"/>
      <c r="Y19" s="10"/>
      <c r="Z19" s="10"/>
      <c r="AA19" s="10"/>
      <c r="AB19" s="10"/>
      <c r="AC19" s="10"/>
      <c r="AD19" s="10"/>
    </row>
    <row r="20" spans="4:30">
      <c r="D20" s="10"/>
      <c r="E20" s="10"/>
      <c r="F20" s="54">
        <f t="shared" si="0"/>
        <v>4.2982862445327301</v>
      </c>
      <c r="G20" s="1"/>
      <c r="H20" s="16">
        <f t="shared" si="3"/>
        <v>7</v>
      </c>
      <c r="I20" s="13">
        <v>73.573598439999998</v>
      </c>
      <c r="J20" s="17">
        <v>0.12628031549999999</v>
      </c>
      <c r="K20" s="2"/>
      <c r="L20" s="2"/>
      <c r="M20" s="2"/>
      <c r="N20" s="2"/>
      <c r="O20" s="2"/>
      <c r="P20" s="2"/>
      <c r="Q20" s="2"/>
      <c r="R20" s="166">
        <f t="shared" si="1"/>
        <v>56.340652579127799</v>
      </c>
      <c r="S20" s="166"/>
      <c r="T20" s="166"/>
      <c r="U20" s="166"/>
      <c r="V20" s="28">
        <f t="shared" si="2"/>
        <v>-17.232945860872199</v>
      </c>
      <c r="W20" s="10"/>
      <c r="X20" s="10"/>
      <c r="Y20" s="10"/>
      <c r="Z20" s="10"/>
      <c r="AA20" s="10"/>
      <c r="AB20" s="10"/>
      <c r="AC20" s="10"/>
      <c r="AD20" s="10"/>
    </row>
    <row r="21" spans="4:30">
      <c r="D21" s="10"/>
      <c r="E21" s="10"/>
      <c r="F21" s="54">
        <f t="shared" si="0"/>
        <v>4.3935964244111902</v>
      </c>
      <c r="G21" s="2"/>
      <c r="H21" s="16">
        <f t="shared" si="3"/>
        <v>8</v>
      </c>
      <c r="I21" s="13">
        <v>80.930958290000007</v>
      </c>
      <c r="J21" s="17">
        <v>9.3927507399999999E-2</v>
      </c>
      <c r="K21" s="2"/>
      <c r="L21" s="2"/>
      <c r="M21" s="2"/>
      <c r="N21" s="2"/>
      <c r="O21" s="2"/>
      <c r="P21" s="2"/>
      <c r="Q21" s="2"/>
      <c r="R21" s="166">
        <f t="shared" si="1"/>
        <v>92.366767329987496</v>
      </c>
      <c r="S21" s="166"/>
      <c r="T21" s="166"/>
      <c r="U21" s="166"/>
      <c r="V21" s="28">
        <f t="shared" si="2"/>
        <v>11.4358090399875</v>
      </c>
      <c r="W21" s="10"/>
      <c r="X21" s="10"/>
      <c r="Y21" s="10"/>
      <c r="Z21" s="10"/>
      <c r="AA21" s="10"/>
      <c r="AB21" s="10"/>
      <c r="AC21" s="10"/>
      <c r="AD21" s="10"/>
    </row>
    <row r="22" spans="4:30">
      <c r="D22" s="10"/>
      <c r="E22" s="10"/>
      <c r="F22" s="54">
        <f t="shared" si="0"/>
        <v>3.6051390639727798</v>
      </c>
      <c r="G22" s="2"/>
      <c r="H22" s="16">
        <f t="shared" si="3"/>
        <v>9</v>
      </c>
      <c r="I22" s="13">
        <v>36.786799219999999</v>
      </c>
      <c r="J22" s="17">
        <v>0.13880398320000001</v>
      </c>
      <c r="K22" s="2"/>
      <c r="L22" s="2"/>
      <c r="M22" s="2"/>
      <c r="N22" s="2"/>
      <c r="O22" s="2"/>
      <c r="P22" s="2"/>
      <c r="Q22" s="2"/>
      <c r="R22" s="166">
        <f t="shared" si="1"/>
        <v>46.528019583090703</v>
      </c>
      <c r="S22" s="166"/>
      <c r="T22" s="166"/>
      <c r="U22" s="166"/>
      <c r="V22" s="28">
        <f t="shared" si="2"/>
        <v>9.7412203630906795</v>
      </c>
      <c r="W22" s="10"/>
      <c r="X22" s="10"/>
      <c r="Y22" s="10"/>
      <c r="Z22" s="10"/>
      <c r="AA22" s="10"/>
      <c r="AB22" s="10"/>
      <c r="AC22" s="10"/>
      <c r="AD22" s="10"/>
    </row>
    <row r="23" spans="4:30">
      <c r="D23" s="10"/>
      <c r="E23" s="10"/>
      <c r="F23" s="54">
        <f t="shared" si="0"/>
        <v>4.1284859683415203</v>
      </c>
      <c r="G23" s="1"/>
      <c r="H23" s="16">
        <f t="shared" si="3"/>
        <v>10</v>
      </c>
      <c r="I23" s="13">
        <v>62.083854819999999</v>
      </c>
      <c r="J23" s="17">
        <v>0.13050705330000001</v>
      </c>
      <c r="K23" s="2"/>
      <c r="L23" s="1"/>
      <c r="M23" s="1"/>
      <c r="N23" s="1"/>
      <c r="O23" s="1"/>
      <c r="P23" s="1"/>
      <c r="Q23" s="1"/>
      <c r="R23" s="166">
        <f t="shared" si="1"/>
        <v>52.816930444451003</v>
      </c>
      <c r="S23" s="166"/>
      <c r="T23" s="166"/>
      <c r="U23" s="166"/>
      <c r="V23" s="28">
        <f t="shared" si="2"/>
        <v>-9.2669243755489905</v>
      </c>
      <c r="W23" s="10"/>
      <c r="X23" s="10"/>
      <c r="Y23" s="10"/>
      <c r="Z23" s="10"/>
      <c r="AA23" s="10"/>
      <c r="AB23" s="10"/>
      <c r="AC23" s="10"/>
      <c r="AD23" s="10"/>
    </row>
    <row r="24" spans="4:30">
      <c r="D24" s="10"/>
      <c r="E24" s="10"/>
      <c r="F24" s="54">
        <f t="shared" si="0"/>
        <v>3.2766349970611501</v>
      </c>
      <c r="G24" s="1"/>
      <c r="H24" s="16">
        <f t="shared" si="3"/>
        <v>11</v>
      </c>
      <c r="I24" s="13">
        <v>26.486495439999999</v>
      </c>
      <c r="J24" s="17">
        <v>0.1774186251</v>
      </c>
      <c r="K24" s="2"/>
      <c r="L24" s="1"/>
      <c r="M24" s="1"/>
      <c r="N24" s="1"/>
      <c r="O24" s="1"/>
      <c r="P24" s="1"/>
      <c r="Q24" s="1"/>
      <c r="R24" s="166">
        <f t="shared" si="1"/>
        <v>25.790932445898701</v>
      </c>
      <c r="S24" s="166"/>
      <c r="T24" s="166"/>
      <c r="U24" s="166"/>
      <c r="V24" s="28">
        <f t="shared" si="2"/>
        <v>-0.69556299410125899</v>
      </c>
      <c r="W24" s="10"/>
      <c r="X24" s="10"/>
      <c r="Y24" s="10"/>
      <c r="Z24" s="10"/>
      <c r="AA24" s="10"/>
      <c r="AB24" s="10"/>
      <c r="AC24" s="10"/>
      <c r="AD24" s="10"/>
    </row>
    <row r="25" spans="4:30">
      <c r="D25" s="10"/>
      <c r="E25" s="10"/>
      <c r="F25" s="54">
        <f t="shared" si="0"/>
        <v>3.53828675706903</v>
      </c>
      <c r="G25" s="1"/>
      <c r="H25" s="16">
        <f t="shared" si="3"/>
        <v>12</v>
      </c>
      <c r="I25" s="13">
        <v>34.407919540000002</v>
      </c>
      <c r="J25" s="17">
        <v>0.16552114079999999</v>
      </c>
      <c r="K25" s="2"/>
      <c r="L25" s="1"/>
      <c r="M25" s="1"/>
      <c r="N25" s="1"/>
      <c r="O25" s="1"/>
      <c r="P25" s="1"/>
      <c r="Q25" s="1"/>
      <c r="R25" s="166">
        <f t="shared" si="1"/>
        <v>30.9327822159701</v>
      </c>
      <c r="S25" s="166"/>
      <c r="T25" s="166"/>
      <c r="U25" s="166"/>
      <c r="V25" s="28">
        <f t="shared" si="2"/>
        <v>-3.4751373240299199</v>
      </c>
      <c r="W25" s="10"/>
      <c r="X25" s="10"/>
      <c r="Y25" s="10"/>
      <c r="Z25" s="10"/>
      <c r="AA25" s="10"/>
      <c r="AB25" s="10"/>
      <c r="AC25" s="10"/>
      <c r="AD25" s="10"/>
    </row>
    <row r="26" spans="4:30">
      <c r="D26" s="10"/>
      <c r="E26" s="10"/>
      <c r="F26" s="54">
        <f t="shared" si="0"/>
        <v>3.3049987566739301</v>
      </c>
      <c r="G26" s="1"/>
      <c r="H26" s="16">
        <f t="shared" si="3"/>
        <v>13</v>
      </c>
      <c r="I26" s="13">
        <v>27.248507709999998</v>
      </c>
      <c r="J26" s="17">
        <v>0.16597586919999999</v>
      </c>
      <c r="K26" s="2"/>
      <c r="L26" s="1"/>
      <c r="M26" s="1"/>
      <c r="N26" s="1"/>
      <c r="O26" s="1"/>
      <c r="P26" s="1"/>
      <c r="Q26" s="1"/>
      <c r="R26" s="166">
        <f t="shared" si="1"/>
        <v>30.718598476201901</v>
      </c>
      <c r="S26" s="166"/>
      <c r="T26" s="166"/>
      <c r="U26" s="166"/>
      <c r="V26" s="28">
        <f t="shared" si="2"/>
        <v>3.4700907662018898</v>
      </c>
      <c r="W26" s="10"/>
      <c r="X26" s="10"/>
      <c r="Y26" s="10"/>
      <c r="Z26" s="10"/>
      <c r="AA26" s="10"/>
      <c r="AB26" s="10"/>
      <c r="AC26" s="10"/>
      <c r="AD26" s="10"/>
    </row>
    <row r="27" spans="4:30">
      <c r="D27" s="10"/>
      <c r="E27" s="10"/>
      <c r="F27" s="54">
        <f t="shared" si="0"/>
        <v>3.3205632731456101</v>
      </c>
      <c r="G27" s="1"/>
      <c r="H27" s="16">
        <f t="shared" si="3"/>
        <v>14</v>
      </c>
      <c r="I27" s="13">
        <v>27.675935280000001</v>
      </c>
      <c r="J27" s="17">
        <v>0.161277009</v>
      </c>
      <c r="K27" s="2"/>
      <c r="L27" s="1"/>
      <c r="M27" s="1"/>
      <c r="N27" s="1"/>
      <c r="O27" s="1"/>
      <c r="P27" s="1"/>
      <c r="Q27" s="1"/>
      <c r="R27" s="166">
        <f t="shared" si="1"/>
        <v>33.005257553361503</v>
      </c>
      <c r="S27" s="166"/>
      <c r="T27" s="166"/>
      <c r="U27" s="166"/>
      <c r="V27" s="28">
        <f t="shared" si="2"/>
        <v>5.3293222733615204</v>
      </c>
      <c r="W27" s="10"/>
      <c r="X27" s="10"/>
      <c r="Y27" s="10"/>
      <c r="Z27" s="10"/>
      <c r="AA27" s="10"/>
      <c r="AB27" s="10"/>
      <c r="AC27" s="10"/>
      <c r="AD27" s="10"/>
    </row>
    <row r="28" spans="4:30">
      <c r="D28" s="10"/>
      <c r="E28" s="10"/>
      <c r="F28" s="54">
        <f t="shared" si="0"/>
        <v>2.9364893549958202</v>
      </c>
      <c r="G28" s="1"/>
      <c r="H28" s="16">
        <f t="shared" si="3"/>
        <v>15</v>
      </c>
      <c r="I28" s="13">
        <v>18.84955592</v>
      </c>
      <c r="J28" s="17">
        <v>0.1884394526</v>
      </c>
      <c r="K28" s="2"/>
      <c r="L28" s="1"/>
      <c r="M28" s="1"/>
      <c r="N28" s="1"/>
      <c r="O28" s="1"/>
      <c r="P28" s="1"/>
      <c r="Q28" s="1"/>
      <c r="R28" s="166">
        <f t="shared" si="1"/>
        <v>21.793782667230801</v>
      </c>
      <c r="S28" s="166"/>
      <c r="T28" s="166"/>
      <c r="U28" s="166"/>
      <c r="V28" s="28">
        <f t="shared" si="2"/>
        <v>2.9442267472307599</v>
      </c>
      <c r="W28" s="10"/>
      <c r="X28" s="10"/>
      <c r="Y28" s="10"/>
      <c r="Z28" s="10"/>
      <c r="AA28" s="10"/>
      <c r="AB28" s="10"/>
      <c r="AC28" s="10"/>
      <c r="AD28" s="10"/>
    </row>
    <row r="29" spans="4:30">
      <c r="D29" s="10"/>
      <c r="E29" s="10"/>
      <c r="F29" s="55">
        <f t="shared" si="0"/>
        <v>2.7053776343083</v>
      </c>
      <c r="G29" s="1"/>
      <c r="H29" s="56">
        <f t="shared" si="3"/>
        <v>16</v>
      </c>
      <c r="I29" s="13">
        <v>14.95996502</v>
      </c>
      <c r="J29" s="20">
        <v>0.2387324146</v>
      </c>
      <c r="K29" s="2"/>
      <c r="L29" s="1"/>
      <c r="M29" s="1"/>
      <c r="N29" s="1"/>
      <c r="O29" s="1"/>
      <c r="P29" s="1"/>
      <c r="Q29" s="1"/>
      <c r="R29" s="166">
        <f t="shared" si="1"/>
        <v>10.106191653391299</v>
      </c>
      <c r="S29" s="166"/>
      <c r="T29" s="166"/>
      <c r="U29" s="166"/>
      <c r="V29" s="28">
        <f t="shared" si="2"/>
        <v>-4.8537733666087002</v>
      </c>
      <c r="W29" s="10"/>
      <c r="X29" s="10"/>
      <c r="Y29" s="10"/>
      <c r="Z29" s="10"/>
      <c r="AA29" s="10"/>
      <c r="AB29" s="10"/>
      <c r="AC29" s="10"/>
      <c r="AD29" s="10"/>
    </row>
    <row r="30" spans="4:30">
      <c r="D30" s="10"/>
      <c r="E30" s="10"/>
      <c r="F30" s="10"/>
      <c r="G30" s="1"/>
      <c r="H30" s="57"/>
      <c r="I30" s="57"/>
      <c r="J30" s="57"/>
      <c r="K30" s="57"/>
      <c r="L30" s="1"/>
      <c r="M30" s="1"/>
      <c r="N30" s="1"/>
      <c r="O30" s="1"/>
      <c r="P30" s="1"/>
      <c r="Q30" s="1"/>
      <c r="R30" s="1"/>
      <c r="S30" s="1"/>
      <c r="T30" s="1"/>
      <c r="U30" s="1"/>
      <c r="V30" s="10"/>
      <c r="W30" s="10"/>
      <c r="X30" s="10"/>
      <c r="Y30" s="10"/>
      <c r="Z30" s="10"/>
      <c r="AA30" s="10"/>
      <c r="AB30" s="10"/>
      <c r="AC30" s="10"/>
      <c r="AD30" s="10"/>
    </row>
    <row r="31" spans="4:30">
      <c r="D31" s="10"/>
      <c r="E31" s="10"/>
      <c r="F31" s="10"/>
      <c r="G31" s="10"/>
      <c r="H31" s="2"/>
      <c r="I31" s="10"/>
      <c r="J31" s="10"/>
      <c r="K31" s="2"/>
      <c r="L31" s="10"/>
      <c r="M31" s="10"/>
      <c r="N31" s="10"/>
      <c r="O31" s="10"/>
      <c r="P31" s="10"/>
      <c r="Q31" s="10"/>
      <c r="R31" s="10"/>
      <c r="S31" s="10"/>
      <c r="T31" s="10"/>
      <c r="U31" s="10"/>
      <c r="V31" s="10"/>
      <c r="W31" s="10"/>
      <c r="X31" s="10"/>
      <c r="Y31" s="10"/>
      <c r="Z31" s="10"/>
      <c r="AA31" s="10"/>
      <c r="AB31" s="10"/>
      <c r="AC31" s="10"/>
      <c r="AD31" s="10"/>
    </row>
    <row r="32" spans="4:30">
      <c r="D32" s="10"/>
      <c r="E32" s="10"/>
      <c r="F32" s="10"/>
      <c r="G32" s="10"/>
      <c r="H32" s="2"/>
      <c r="I32" s="10"/>
      <c r="J32" s="10"/>
      <c r="K32" s="2"/>
      <c r="L32" s="10"/>
      <c r="M32" s="10"/>
      <c r="N32" s="10"/>
      <c r="O32" s="10"/>
      <c r="P32" s="10"/>
      <c r="Q32" s="10"/>
      <c r="R32" s="10"/>
      <c r="S32" s="10"/>
      <c r="T32" s="10"/>
      <c r="U32" s="10"/>
      <c r="V32" s="10"/>
      <c r="W32" s="10"/>
      <c r="X32" s="10"/>
      <c r="Y32" s="10"/>
      <c r="Z32" s="10"/>
      <c r="AA32" s="10"/>
      <c r="AB32" s="10"/>
      <c r="AC32" s="10"/>
      <c r="AD32" s="10"/>
    </row>
    <row r="33" spans="4:30" ht="14.4" customHeight="1">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spans="4:3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spans="4:30">
      <c r="D35" s="10"/>
      <c r="E35" s="10"/>
      <c r="F35" s="10"/>
      <c r="G35" s="10"/>
      <c r="H35" s="10"/>
      <c r="I35" s="10"/>
      <c r="J35" s="10"/>
      <c r="K35" s="10"/>
      <c r="L35" s="10"/>
      <c r="M35" s="10"/>
      <c r="N35" s="10"/>
      <c r="O35" s="10"/>
      <c r="P35" s="59"/>
      <c r="Q35" s="65"/>
      <c r="R35" s="65"/>
      <c r="S35" s="65"/>
      <c r="T35" s="65"/>
      <c r="U35" s="65"/>
      <c r="V35" s="65"/>
      <c r="W35" s="65"/>
      <c r="X35" s="65"/>
      <c r="Y35" s="76"/>
      <c r="Z35" s="10"/>
      <c r="AA35" s="10"/>
      <c r="AB35" s="10"/>
      <c r="AC35" s="10"/>
      <c r="AD35" s="10"/>
    </row>
    <row r="36" spans="4:30">
      <c r="D36" s="10"/>
      <c r="E36" s="10"/>
      <c r="F36" s="10"/>
      <c r="G36" s="10"/>
      <c r="H36" s="10"/>
      <c r="I36" s="10"/>
      <c r="J36" s="10"/>
      <c r="K36" s="10"/>
      <c r="L36" s="10"/>
      <c r="M36" s="10"/>
      <c r="N36" s="10"/>
      <c r="O36" s="10"/>
      <c r="P36" s="60"/>
      <c r="Q36" s="1"/>
      <c r="R36" s="1"/>
      <c r="S36" s="1"/>
      <c r="T36" s="1"/>
      <c r="U36" s="10"/>
      <c r="V36" s="10"/>
      <c r="W36" s="10"/>
      <c r="X36" s="10"/>
      <c r="Y36" s="77"/>
      <c r="Z36" s="10"/>
      <c r="AA36" s="10"/>
      <c r="AB36" s="10"/>
      <c r="AC36" s="10"/>
      <c r="AD36" s="10"/>
    </row>
    <row r="37" spans="4:30">
      <c r="D37" s="10"/>
      <c r="E37" s="10"/>
      <c r="F37" s="10"/>
      <c r="G37" s="10"/>
      <c r="H37" s="10"/>
      <c r="I37" s="10"/>
      <c r="J37" s="10"/>
      <c r="K37" s="10"/>
      <c r="L37" s="10"/>
      <c r="M37" s="10"/>
      <c r="N37" s="10"/>
      <c r="O37" s="10"/>
      <c r="P37" s="60"/>
      <c r="Q37" s="1" t="s">
        <v>37</v>
      </c>
      <c r="R37" s="66">
        <v>16</v>
      </c>
      <c r="S37" s="67">
        <f>K14</f>
        <v>2.2682847935999999</v>
      </c>
      <c r="T37" s="1" t="s">
        <v>28</v>
      </c>
      <c r="U37" s="10"/>
      <c r="V37" s="10">
        <f>N14</f>
        <v>60.713045022732302</v>
      </c>
      <c r="W37" s="10" t="s">
        <v>48</v>
      </c>
      <c r="X37" s="68">
        <f>N14</f>
        <v>60.713045022732302</v>
      </c>
      <c r="Y37" s="77"/>
      <c r="Z37" s="10"/>
      <c r="AA37" s="10"/>
      <c r="AB37" s="10"/>
      <c r="AC37" s="10"/>
      <c r="AD37" s="10"/>
    </row>
    <row r="38" spans="4:30">
      <c r="D38" s="10"/>
      <c r="E38" s="10"/>
      <c r="F38" s="10"/>
      <c r="G38" s="10"/>
      <c r="H38" s="10"/>
      <c r="I38" s="10"/>
      <c r="J38" s="10"/>
      <c r="K38" s="10"/>
      <c r="L38" s="10"/>
      <c r="M38" s="10"/>
      <c r="N38" s="10"/>
      <c r="O38" s="10"/>
      <c r="P38" s="60"/>
      <c r="Q38" s="1" t="s">
        <v>28</v>
      </c>
      <c r="R38" s="69">
        <f>K14</f>
        <v>2.2682847935999999</v>
      </c>
      <c r="S38" s="8">
        <f>L14</f>
        <v>0.348126171220281</v>
      </c>
      <c r="T38" s="1" t="s">
        <v>39</v>
      </c>
      <c r="U38" s="10"/>
      <c r="V38" s="10"/>
      <c r="W38" s="10" t="s">
        <v>44</v>
      </c>
      <c r="X38" s="70">
        <f>P14</f>
        <v>8.20133663784992</v>
      </c>
      <c r="Y38" s="77"/>
      <c r="Z38" s="10"/>
      <c r="AA38" s="10"/>
      <c r="AB38" s="10"/>
      <c r="AC38" s="10"/>
      <c r="AD38" s="10"/>
    </row>
    <row r="39" spans="4:30">
      <c r="D39" s="10"/>
      <c r="E39" s="10"/>
      <c r="F39" s="10"/>
      <c r="G39" s="10"/>
      <c r="H39" s="10"/>
      <c r="I39" s="10"/>
      <c r="J39" s="10"/>
      <c r="K39" s="10"/>
      <c r="L39" s="10"/>
      <c r="M39" s="10"/>
      <c r="N39" s="10"/>
      <c r="O39" s="10"/>
      <c r="P39" s="60"/>
      <c r="Q39" s="1"/>
      <c r="R39" s="1"/>
      <c r="S39" s="1"/>
      <c r="T39" s="1"/>
      <c r="U39" s="10"/>
      <c r="V39" s="10"/>
      <c r="W39" s="10"/>
      <c r="X39" s="10"/>
      <c r="Y39" s="77"/>
      <c r="Z39" s="10"/>
      <c r="AA39" s="10"/>
      <c r="AB39" s="10"/>
      <c r="AC39" s="10"/>
      <c r="AD39" s="10"/>
    </row>
    <row r="40" spans="4:30">
      <c r="D40" s="10"/>
      <c r="E40" s="10"/>
      <c r="F40" s="10"/>
      <c r="G40" s="10"/>
      <c r="H40" s="10"/>
      <c r="I40" s="10"/>
      <c r="J40" s="10"/>
      <c r="K40" s="10"/>
      <c r="L40" s="10"/>
      <c r="M40" s="10"/>
      <c r="N40" s="10"/>
      <c r="O40" s="10"/>
      <c r="P40" s="61"/>
      <c r="Q40" s="10"/>
      <c r="R40" s="10"/>
      <c r="S40" s="10"/>
      <c r="T40" s="10"/>
      <c r="U40" s="10"/>
      <c r="V40" s="10"/>
      <c r="W40" s="10"/>
      <c r="X40" s="10"/>
      <c r="Y40" s="77"/>
      <c r="Z40" s="10"/>
      <c r="AA40" s="10"/>
      <c r="AB40" s="10"/>
      <c r="AC40" s="10"/>
      <c r="AD40" s="10"/>
    </row>
    <row r="41" spans="4:30">
      <c r="D41" s="10"/>
      <c r="E41" s="10"/>
      <c r="F41" s="10"/>
      <c r="G41" s="10"/>
      <c r="H41" s="10"/>
      <c r="I41" s="10"/>
      <c r="J41" s="10"/>
      <c r="K41" s="10"/>
      <c r="L41" s="10"/>
      <c r="M41" s="10"/>
      <c r="N41" s="10"/>
      <c r="O41" s="10"/>
      <c r="P41" s="61"/>
      <c r="Q41" s="10"/>
      <c r="R41" s="10"/>
      <c r="S41" s="10"/>
      <c r="T41" s="10"/>
      <c r="U41" s="10"/>
      <c r="V41" s="10"/>
      <c r="W41" s="10"/>
      <c r="X41" s="10"/>
      <c r="Y41" s="77"/>
      <c r="Z41" s="10"/>
      <c r="AA41" s="10"/>
      <c r="AB41" s="10"/>
      <c r="AC41" s="10"/>
      <c r="AD41" s="10"/>
    </row>
    <row r="42" spans="4:30">
      <c r="D42" s="10"/>
      <c r="E42" s="10"/>
      <c r="F42" s="10"/>
      <c r="G42" s="10"/>
      <c r="H42" s="10"/>
      <c r="I42" s="10"/>
      <c r="J42" s="10"/>
      <c r="K42" s="10"/>
      <c r="L42" s="10"/>
      <c r="M42" s="10"/>
      <c r="N42" s="10"/>
      <c r="O42" s="10"/>
      <c r="P42" s="61"/>
      <c r="Q42" s="10"/>
      <c r="R42" s="10"/>
      <c r="S42" s="10"/>
      <c r="T42" s="10"/>
      <c r="U42" s="10"/>
      <c r="V42" s="10"/>
      <c r="W42" s="10"/>
      <c r="X42" s="10"/>
      <c r="Y42" s="77"/>
      <c r="Z42" s="10"/>
      <c r="AA42" s="10"/>
      <c r="AB42" s="10"/>
      <c r="AC42" s="10"/>
      <c r="AD42" s="10"/>
    </row>
    <row r="43" spans="4:30">
      <c r="D43" s="10"/>
      <c r="E43" s="10"/>
      <c r="F43" s="10"/>
      <c r="G43" s="10"/>
      <c r="H43" s="10"/>
      <c r="I43" s="10"/>
      <c r="J43" s="10"/>
      <c r="K43" s="10"/>
      <c r="L43" s="10"/>
      <c r="M43" s="10"/>
      <c r="N43" s="10"/>
      <c r="O43" s="10"/>
      <c r="P43" s="61"/>
      <c r="Q43" s="10"/>
      <c r="R43" s="10"/>
      <c r="S43" s="10"/>
      <c r="T43" s="10"/>
      <c r="U43" s="10"/>
      <c r="V43" s="10"/>
      <c r="W43" s="10"/>
      <c r="X43" s="10"/>
      <c r="Y43" s="77"/>
      <c r="Z43" s="10"/>
      <c r="AA43" s="10"/>
      <c r="AB43" s="10"/>
      <c r="AC43" s="10"/>
      <c r="AD43" s="10"/>
    </row>
    <row r="44" spans="4:30">
      <c r="D44" s="10"/>
      <c r="E44" s="10"/>
      <c r="F44" s="10"/>
      <c r="G44" s="10"/>
      <c r="H44" s="10"/>
      <c r="I44" s="10"/>
      <c r="J44" s="10"/>
      <c r="K44" s="10"/>
      <c r="L44" s="10"/>
      <c r="M44" s="10"/>
      <c r="N44" s="10"/>
      <c r="O44" s="10"/>
      <c r="P44" s="61"/>
      <c r="Q44" s="10"/>
      <c r="R44" s="10"/>
      <c r="S44" s="10" t="s">
        <v>40</v>
      </c>
      <c r="T44" s="71">
        <f t="array" ref="T44:U45">MINVERSE(R37:S38)</f>
        <v>0.81930771657261703</v>
      </c>
      <c r="U44" s="72">
        <v>-5.3383611702231502</v>
      </c>
      <c r="V44" s="10"/>
      <c r="W44" s="10"/>
      <c r="X44" s="10"/>
      <c r="Y44" s="77"/>
      <c r="Z44" s="10"/>
      <c r="AA44" s="10"/>
      <c r="AB44" s="10"/>
      <c r="AC44" s="10"/>
      <c r="AD44" s="10"/>
    </row>
    <row r="45" spans="4:30">
      <c r="D45" s="10"/>
      <c r="E45" s="10"/>
      <c r="F45" s="10"/>
      <c r="G45" s="10"/>
      <c r="H45" s="10"/>
      <c r="I45" s="10"/>
      <c r="J45" s="10"/>
      <c r="K45" s="10"/>
      <c r="L45" s="10"/>
      <c r="M45" s="10"/>
      <c r="N45" s="10"/>
      <c r="O45" s="10"/>
      <c r="P45" s="61"/>
      <c r="Q45" s="10"/>
      <c r="R45" s="10"/>
      <c r="S45" s="10"/>
      <c r="T45" s="73">
        <v>-5.3383611702231502</v>
      </c>
      <c r="U45" s="74">
        <v>37.6556678264417</v>
      </c>
      <c r="V45" s="10"/>
      <c r="W45" s="10"/>
      <c r="X45" s="10"/>
      <c r="Y45" s="77"/>
      <c r="Z45" s="10"/>
      <c r="AA45" s="10"/>
      <c r="AB45" s="10"/>
      <c r="AC45" s="10"/>
      <c r="AD45" s="10"/>
    </row>
    <row r="46" spans="4:30">
      <c r="D46" s="10"/>
      <c r="E46" s="10"/>
      <c r="F46" s="10"/>
      <c r="G46" s="10"/>
      <c r="H46" s="10"/>
      <c r="I46" s="10"/>
      <c r="J46" s="10"/>
      <c r="K46" s="10"/>
      <c r="L46" s="10"/>
      <c r="M46" s="10"/>
      <c r="N46" s="10"/>
      <c r="O46" s="10"/>
      <c r="P46" s="61"/>
      <c r="Q46" s="10"/>
      <c r="R46" s="10"/>
      <c r="S46" s="10"/>
      <c r="T46" s="10"/>
      <c r="U46" s="10"/>
      <c r="V46" s="10"/>
      <c r="W46" s="10"/>
      <c r="X46" s="10"/>
      <c r="Y46" s="77"/>
      <c r="Z46" s="10"/>
      <c r="AA46" s="10"/>
      <c r="AB46" s="10"/>
      <c r="AC46" s="10"/>
      <c r="AD46" s="10"/>
    </row>
    <row r="47" spans="4:30">
      <c r="D47" s="10"/>
      <c r="E47" s="10"/>
      <c r="F47" s="10"/>
      <c r="G47" s="10"/>
      <c r="H47" s="10"/>
      <c r="I47" s="10"/>
      <c r="J47" s="10"/>
      <c r="K47" s="10"/>
      <c r="L47" s="10"/>
      <c r="M47" s="10"/>
      <c r="N47" s="10"/>
      <c r="O47" s="10"/>
      <c r="P47" s="61"/>
      <c r="Q47" s="10"/>
      <c r="R47" s="10" t="s">
        <v>49</v>
      </c>
      <c r="S47" s="10">
        <f t="array" ref="S47:S48">MMULT(T44:U45,X37:X38)</f>
        <v>5.9609692323187904</v>
      </c>
      <c r="T47" s="10"/>
      <c r="U47" s="10"/>
      <c r="V47" s="10"/>
      <c r="W47" s="10"/>
      <c r="X47" s="10"/>
      <c r="Y47" s="77"/>
      <c r="Z47" s="10"/>
      <c r="AA47" s="10"/>
      <c r="AB47" s="10"/>
      <c r="AC47" s="10"/>
      <c r="AD47" s="10"/>
    </row>
    <row r="48" spans="4:30">
      <c r="D48" s="10"/>
      <c r="E48" s="10"/>
      <c r="F48" s="10"/>
      <c r="G48" s="10"/>
      <c r="H48" s="10"/>
      <c r="I48" s="10"/>
      <c r="J48" s="10"/>
      <c r="K48" s="10"/>
      <c r="L48" s="10"/>
      <c r="M48" s="10"/>
      <c r="N48" s="10"/>
      <c r="O48" s="10"/>
      <c r="P48" s="61"/>
      <c r="Q48" s="10"/>
      <c r="R48" s="10" t="s">
        <v>2</v>
      </c>
      <c r="S48" s="10">
        <v>-15.2813539076614</v>
      </c>
      <c r="T48" s="10"/>
      <c r="U48" s="10"/>
      <c r="V48" s="10"/>
      <c r="W48" s="10"/>
      <c r="X48" s="10"/>
      <c r="Y48" s="77"/>
      <c r="Z48" s="10"/>
      <c r="AA48" s="10"/>
      <c r="AB48" s="10"/>
      <c r="AC48" s="10"/>
      <c r="AD48" s="10"/>
    </row>
    <row r="49" spans="4:30">
      <c r="D49" s="10"/>
      <c r="E49" s="10"/>
      <c r="F49" s="10"/>
      <c r="G49" s="10"/>
      <c r="H49" s="10"/>
      <c r="I49" s="10"/>
      <c r="J49" s="10"/>
      <c r="K49" s="10"/>
      <c r="L49" s="10"/>
      <c r="M49" s="10"/>
      <c r="N49" s="10"/>
      <c r="O49" s="10"/>
      <c r="P49" s="61"/>
      <c r="Q49" s="10"/>
      <c r="R49" s="10"/>
      <c r="S49" s="10"/>
      <c r="T49" s="10"/>
      <c r="U49" s="10"/>
      <c r="V49" s="10"/>
      <c r="W49" s="10"/>
      <c r="X49" s="10"/>
      <c r="Y49" s="77"/>
      <c r="Z49" s="10"/>
      <c r="AA49" s="10"/>
      <c r="AB49" s="10"/>
      <c r="AC49" s="10"/>
      <c r="AD49" s="10"/>
    </row>
    <row r="50" spans="4:30">
      <c r="D50" s="10"/>
      <c r="E50" s="10"/>
      <c r="F50" s="10"/>
      <c r="G50" s="10"/>
      <c r="H50" s="10"/>
      <c r="I50" s="10"/>
      <c r="J50" s="10"/>
      <c r="K50" s="10"/>
      <c r="L50" s="10"/>
      <c r="M50" s="10"/>
      <c r="N50" s="10"/>
      <c r="O50" s="10"/>
      <c r="P50" s="61"/>
      <c r="Q50" s="10"/>
      <c r="R50" s="10"/>
      <c r="S50" s="10"/>
      <c r="T50" s="10"/>
      <c r="U50" s="10"/>
      <c r="V50" s="10"/>
      <c r="W50" s="10"/>
      <c r="X50" s="10"/>
      <c r="Y50" s="77"/>
      <c r="Z50" s="10"/>
      <c r="AA50" s="10"/>
      <c r="AB50" s="10"/>
      <c r="AC50" s="10"/>
      <c r="AD50" s="10"/>
    </row>
    <row r="51" spans="4:30" ht="14.4" customHeight="1">
      <c r="D51" s="10"/>
      <c r="E51" s="10"/>
      <c r="F51" s="10"/>
      <c r="G51" s="10"/>
      <c r="H51" s="10"/>
      <c r="I51" s="10"/>
      <c r="J51" s="10"/>
      <c r="K51" s="10"/>
      <c r="L51" s="10"/>
      <c r="M51" s="10"/>
      <c r="N51" s="10"/>
      <c r="O51" s="10"/>
      <c r="P51" s="61"/>
      <c r="Q51" s="10"/>
      <c r="R51" s="10" t="s">
        <v>41</v>
      </c>
      <c r="S51" s="10">
        <f>EXP(S47)</f>
        <v>387.98599061878201</v>
      </c>
      <c r="T51" s="10"/>
      <c r="U51" s="10"/>
      <c r="V51" s="10"/>
      <c r="W51" s="10"/>
      <c r="X51" s="10"/>
      <c r="Y51" s="77"/>
      <c r="Z51" s="10"/>
      <c r="AA51" s="10"/>
      <c r="AB51" s="10"/>
      <c r="AC51" s="10"/>
      <c r="AD51" s="10"/>
    </row>
    <row r="52" spans="4:30">
      <c r="D52" s="10"/>
      <c r="E52" s="10"/>
      <c r="F52" s="10"/>
      <c r="G52" s="10"/>
      <c r="H52" s="10"/>
      <c r="I52" s="10"/>
      <c r="J52" s="10"/>
      <c r="K52" s="10"/>
      <c r="L52" s="10"/>
      <c r="M52" s="10"/>
      <c r="N52" s="10"/>
      <c r="O52" s="10"/>
      <c r="P52" s="61"/>
      <c r="Q52" s="10"/>
      <c r="R52" s="10" t="s">
        <v>2</v>
      </c>
      <c r="S52" s="10">
        <f>S48</f>
        <v>-15.2813539076614</v>
      </c>
      <c r="T52" s="10"/>
      <c r="U52" s="10"/>
      <c r="V52" s="10"/>
      <c r="W52" s="10"/>
      <c r="X52" s="10"/>
      <c r="Y52" s="77"/>
      <c r="Z52" s="10"/>
      <c r="AA52" s="10"/>
      <c r="AB52" s="10"/>
      <c r="AC52" s="10"/>
      <c r="AD52" s="10"/>
    </row>
    <row r="53" spans="4:30">
      <c r="D53" s="10"/>
      <c r="E53" s="10"/>
      <c r="F53" s="10"/>
      <c r="G53" s="10"/>
      <c r="H53" s="10"/>
      <c r="I53" s="10"/>
      <c r="J53" s="10"/>
      <c r="K53" s="10"/>
      <c r="L53" s="10"/>
      <c r="M53" s="10"/>
      <c r="N53" s="10"/>
      <c r="O53" s="10"/>
      <c r="P53" s="61"/>
      <c r="Q53" s="10"/>
      <c r="R53" s="10"/>
      <c r="S53" s="10"/>
      <c r="T53" s="10"/>
      <c r="U53" s="10"/>
      <c r="V53" s="10"/>
      <c r="W53" s="10"/>
      <c r="X53" s="10"/>
      <c r="Y53" s="77"/>
      <c r="Z53" s="10"/>
      <c r="AA53" s="10"/>
      <c r="AB53" s="10"/>
      <c r="AC53" s="10"/>
      <c r="AD53" s="10"/>
    </row>
    <row r="54" spans="4:30">
      <c r="D54" s="10"/>
      <c r="E54" s="10"/>
      <c r="F54" s="10"/>
      <c r="G54" s="10"/>
      <c r="H54" s="10"/>
      <c r="I54" s="10"/>
      <c r="J54" s="10"/>
      <c r="K54" s="10"/>
      <c r="L54" s="10"/>
      <c r="M54" s="10"/>
      <c r="N54" s="10"/>
      <c r="O54" s="10"/>
      <c r="P54" s="62"/>
      <c r="Q54" s="75"/>
      <c r="R54" s="75"/>
      <c r="S54" s="75"/>
      <c r="T54" s="75"/>
      <c r="U54" s="75"/>
      <c r="V54" s="75"/>
      <c r="W54" s="75"/>
      <c r="X54" s="75"/>
      <c r="Y54" s="78"/>
      <c r="Z54" s="10"/>
      <c r="AA54" s="10"/>
      <c r="AB54" s="10"/>
      <c r="AC54" s="10"/>
      <c r="AD54" s="10"/>
    </row>
    <row r="55" spans="4:3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row>
    <row r="56" spans="4:30">
      <c r="D56" s="10"/>
      <c r="E56" s="10"/>
      <c r="F56" s="10"/>
      <c r="G56" s="10"/>
      <c r="H56" s="10"/>
      <c r="I56" s="10"/>
      <c r="J56" s="10"/>
      <c r="K56" s="10"/>
      <c r="L56" s="10"/>
      <c r="M56" s="10"/>
      <c r="N56" s="10"/>
      <c r="O56" s="10"/>
      <c r="P56" s="10"/>
      <c r="Q56" s="10"/>
      <c r="R56" s="10"/>
      <c r="S56" s="10"/>
      <c r="T56" s="10"/>
      <c r="U56" s="10"/>
      <c r="V56" s="10"/>
      <c r="W56" s="10"/>
      <c r="X56" s="10"/>
      <c r="Y56" s="10"/>
      <c r="Z56" s="10"/>
      <c r="AA56" s="10"/>
      <c r="AB56" s="10"/>
    </row>
    <row r="57" spans="4:30">
      <c r="D57" s="10"/>
      <c r="E57" s="10"/>
      <c r="F57" s="10"/>
      <c r="G57" s="10"/>
      <c r="H57" s="10"/>
      <c r="I57" s="10"/>
      <c r="J57" s="10"/>
      <c r="K57" s="10"/>
      <c r="L57" s="10"/>
      <c r="M57" s="10"/>
      <c r="N57" s="10"/>
      <c r="O57" s="10"/>
      <c r="P57" s="10"/>
      <c r="Q57" s="10"/>
      <c r="R57" s="10"/>
      <c r="S57" s="10"/>
      <c r="T57" s="10"/>
      <c r="U57" s="10"/>
      <c r="V57" s="10"/>
      <c r="W57" s="10"/>
      <c r="X57" s="10"/>
      <c r="Y57" s="10"/>
      <c r="Z57" s="10"/>
      <c r="AA57" s="10"/>
      <c r="AB57" s="10"/>
    </row>
    <row r="58" spans="4:30">
      <c r="D58" s="10"/>
      <c r="E58" s="10"/>
      <c r="F58" s="10"/>
      <c r="G58" s="10"/>
      <c r="H58" s="10"/>
      <c r="I58" s="10"/>
      <c r="J58" s="10"/>
      <c r="K58" s="10"/>
      <c r="L58" s="10"/>
      <c r="M58" s="10"/>
      <c r="N58" s="10"/>
      <c r="O58" s="10"/>
      <c r="P58" s="10"/>
      <c r="Q58" s="10"/>
      <c r="R58" s="10"/>
      <c r="S58" s="10"/>
      <c r="T58" s="10"/>
      <c r="U58" s="10"/>
      <c r="V58" s="10"/>
      <c r="W58" s="10"/>
      <c r="X58" s="10"/>
      <c r="Y58" s="10"/>
      <c r="Z58" s="10"/>
      <c r="AA58" s="10"/>
      <c r="AB58" s="10"/>
    </row>
    <row r="59" spans="4:30" ht="14.4" customHeight="1">
      <c r="D59" s="10"/>
      <c r="E59" s="10"/>
      <c r="F59" s="10"/>
      <c r="G59" s="10"/>
      <c r="H59" s="10"/>
      <c r="I59" s="10"/>
      <c r="J59" s="10"/>
      <c r="K59" s="10"/>
      <c r="L59" s="10"/>
      <c r="M59" s="10"/>
      <c r="N59" s="10"/>
      <c r="O59" s="10"/>
      <c r="P59" s="10"/>
      <c r="Q59" s="10"/>
      <c r="R59" s="10"/>
      <c r="S59" s="10"/>
      <c r="T59" s="10"/>
      <c r="U59" s="10"/>
      <c r="V59" s="10"/>
      <c r="W59" s="10"/>
      <c r="X59" s="10"/>
      <c r="Y59" s="10"/>
      <c r="Z59" s="10"/>
      <c r="AA59" s="10"/>
      <c r="AB59" s="10"/>
    </row>
    <row r="60" spans="4:30">
      <c r="D60" s="10"/>
      <c r="E60" s="10"/>
      <c r="F60" s="10"/>
      <c r="G60" s="10"/>
      <c r="H60" s="10"/>
      <c r="I60" s="10"/>
      <c r="J60" s="10"/>
      <c r="K60" s="10"/>
      <c r="L60" s="10"/>
      <c r="M60" s="10"/>
      <c r="N60" s="10"/>
      <c r="O60" s="10"/>
      <c r="P60" s="10"/>
      <c r="Q60" s="10"/>
      <c r="R60" s="10"/>
      <c r="S60" s="10"/>
      <c r="T60" s="10"/>
      <c r="U60" s="10"/>
      <c r="V60" s="10"/>
      <c r="W60" s="10"/>
      <c r="X60" s="10"/>
      <c r="Y60" s="10"/>
      <c r="Z60" s="10"/>
      <c r="AA60" s="10"/>
      <c r="AB60" s="10"/>
    </row>
  </sheetData>
  <mergeCells count="29">
    <mergeCell ref="H2:I6"/>
    <mergeCell ref="R26:U26"/>
    <mergeCell ref="R27:U27"/>
    <mergeCell ref="R28:U28"/>
    <mergeCell ref="R29:U29"/>
    <mergeCell ref="F11:F13"/>
    <mergeCell ref="H10:H13"/>
    <mergeCell ref="I10:I13"/>
    <mergeCell ref="J10:J13"/>
    <mergeCell ref="K10:K13"/>
    <mergeCell ref="L10:M13"/>
    <mergeCell ref="N10:O13"/>
    <mergeCell ref="P10:Q13"/>
    <mergeCell ref="R10:U13"/>
    <mergeCell ref="R21:U21"/>
    <mergeCell ref="R22:U22"/>
    <mergeCell ref="R23:U23"/>
    <mergeCell ref="R24:U24"/>
    <mergeCell ref="R25:U25"/>
    <mergeCell ref="R16:U16"/>
    <mergeCell ref="R17:U17"/>
    <mergeCell ref="R18:U18"/>
    <mergeCell ref="R19:U19"/>
    <mergeCell ref="R20:U20"/>
    <mergeCell ref="L14:M14"/>
    <mergeCell ref="N14:O14"/>
    <mergeCell ref="P14:Q14"/>
    <mergeCell ref="R14:U14"/>
    <mergeCell ref="R15:U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F5:AA59"/>
  <sheetViews>
    <sheetView topLeftCell="F35" zoomScale="75" zoomScaleNormal="72" workbookViewId="0">
      <selection activeCell="N66" sqref="N66"/>
    </sheetView>
  </sheetViews>
  <sheetFormatPr defaultColWidth="9" defaultRowHeight="14.4"/>
  <cols>
    <col min="7" max="7" width="15.33203125" customWidth="1"/>
    <col min="8" max="8" width="13.77734375" customWidth="1"/>
    <col min="9" max="10" width="28" customWidth="1"/>
    <col min="11" max="11" width="23" customWidth="1"/>
    <col min="15" max="15" width="10.44140625" customWidth="1"/>
    <col min="16" max="16" width="12" customWidth="1"/>
    <col min="17" max="18" width="15.77734375" customWidth="1"/>
    <col min="21" max="21" width="0.33203125" customWidth="1"/>
    <col min="22" max="22" width="22.33203125" customWidth="1"/>
    <col min="23" max="23" width="30.5546875" customWidth="1"/>
    <col min="24" max="25" width="12.6640625" customWidth="1"/>
  </cols>
  <sheetData>
    <row r="5" spans="6:27">
      <c r="G5" s="221" t="s">
        <v>50</v>
      </c>
      <c r="H5" s="175"/>
    </row>
    <row r="6" spans="6:27">
      <c r="G6" s="175"/>
      <c r="H6" s="175"/>
    </row>
    <row r="7" spans="6:27">
      <c r="G7" s="175"/>
      <c r="H7" s="175"/>
    </row>
    <row r="8" spans="6:27">
      <c r="G8" s="175"/>
      <c r="H8" s="175"/>
    </row>
    <row r="10" spans="6:27">
      <c r="G10" s="1"/>
      <c r="H10" s="2"/>
      <c r="I10" s="11"/>
      <c r="J10" s="12"/>
      <c r="K10" s="2"/>
      <c r="L10" s="2"/>
      <c r="M10" s="2"/>
      <c r="N10" s="2"/>
      <c r="O10" s="2"/>
      <c r="P10" s="2"/>
      <c r="Q10" s="2"/>
      <c r="R10" s="2"/>
      <c r="S10" s="2"/>
      <c r="T10" s="2"/>
      <c r="U10" s="2"/>
      <c r="V10" s="28"/>
    </row>
    <row r="11" spans="6:27">
      <c r="F11" s="208" t="s">
        <v>51</v>
      </c>
      <c r="G11" s="210" t="s">
        <v>52</v>
      </c>
      <c r="H11" s="212" t="s">
        <v>10</v>
      </c>
      <c r="I11" s="214" t="s">
        <v>23</v>
      </c>
      <c r="J11" s="217" t="s">
        <v>20</v>
      </c>
      <c r="K11" s="220" t="s">
        <v>53</v>
      </c>
      <c r="L11" s="222" t="s">
        <v>54</v>
      </c>
      <c r="M11" s="212"/>
      <c r="N11" s="222" t="s">
        <v>55</v>
      </c>
      <c r="O11" s="212"/>
      <c r="P11" s="222" t="s">
        <v>56</v>
      </c>
      <c r="Q11" s="212"/>
      <c r="R11" s="226" t="s">
        <v>57</v>
      </c>
      <c r="S11" s="227"/>
      <c r="T11" s="227"/>
      <c r="U11" s="228"/>
      <c r="V11" s="29"/>
      <c r="W11" s="30"/>
      <c r="X11" s="30"/>
      <c r="Y11" s="30"/>
      <c r="Z11" s="10"/>
      <c r="AA11" s="10"/>
    </row>
    <row r="12" spans="6:27">
      <c r="F12" s="209"/>
      <c r="G12" s="211"/>
      <c r="H12" s="213"/>
      <c r="I12" s="215"/>
      <c r="J12" s="218"/>
      <c r="K12" s="213"/>
      <c r="L12" s="223"/>
      <c r="M12" s="213"/>
      <c r="N12" s="223"/>
      <c r="O12" s="213"/>
      <c r="P12" s="223"/>
      <c r="Q12" s="213"/>
      <c r="R12" s="229"/>
      <c r="S12" s="230"/>
      <c r="T12" s="230"/>
      <c r="U12" s="231"/>
      <c r="V12" s="29"/>
      <c r="W12" s="30"/>
      <c r="X12" s="30"/>
      <c r="Y12" s="30"/>
      <c r="Z12" s="10"/>
      <c r="AA12" s="10"/>
    </row>
    <row r="13" spans="6:27">
      <c r="F13" s="209"/>
      <c r="G13" s="211"/>
      <c r="H13" s="213"/>
      <c r="I13" s="215"/>
      <c r="J13" s="218"/>
      <c r="K13" s="213"/>
      <c r="L13" s="223"/>
      <c r="M13" s="213"/>
      <c r="N13" s="223"/>
      <c r="O13" s="213"/>
      <c r="P13" s="223"/>
      <c r="Q13" s="213"/>
      <c r="R13" s="229"/>
      <c r="S13" s="230"/>
      <c r="T13" s="230"/>
      <c r="U13" s="231"/>
      <c r="V13" s="29"/>
      <c r="W13" s="30"/>
      <c r="X13" s="30"/>
      <c r="Y13" s="30"/>
      <c r="Z13" s="10"/>
      <c r="AA13" s="10"/>
    </row>
    <row r="14" spans="6:27">
      <c r="F14" s="209"/>
      <c r="G14" s="211"/>
      <c r="H14" s="213"/>
      <c r="I14" s="216"/>
      <c r="J14" s="219"/>
      <c r="K14" s="213"/>
      <c r="L14" s="224"/>
      <c r="M14" s="225"/>
      <c r="N14" s="223"/>
      <c r="O14" s="213"/>
      <c r="P14" s="223"/>
      <c r="Q14" s="213"/>
      <c r="R14" s="229"/>
      <c r="S14" s="230"/>
      <c r="T14" s="230"/>
      <c r="U14" s="231"/>
      <c r="V14" s="31" t="s">
        <v>33</v>
      </c>
      <c r="W14" s="32" t="s">
        <v>34</v>
      </c>
      <c r="X14" s="32" t="s">
        <v>47</v>
      </c>
      <c r="Y14" s="32" t="s">
        <v>36</v>
      </c>
      <c r="Z14" s="10"/>
      <c r="AA14" s="10"/>
    </row>
    <row r="15" spans="6:27">
      <c r="F15" s="3">
        <f>LOG(I15)</f>
        <v>1.8012204488957599</v>
      </c>
      <c r="G15" s="4">
        <f>LOG(J15)</f>
        <v>-0.97712833817807399</v>
      </c>
      <c r="H15" s="5">
        <v>1</v>
      </c>
      <c r="I15" s="13">
        <v>63.273294659999998</v>
      </c>
      <c r="J15" s="14">
        <v>0.1054075361</v>
      </c>
      <c r="K15" s="15">
        <f>SUM(G15:G30)</f>
        <v>-13.8742996128721</v>
      </c>
      <c r="L15" s="162">
        <f>SUMSQ(G15:G30)</f>
        <v>12.301318162767</v>
      </c>
      <c r="M15" s="206"/>
      <c r="N15" s="207">
        <f>SUM(F15:F30)</f>
        <v>26.367340432916301</v>
      </c>
      <c r="O15" s="207"/>
      <c r="P15" s="207">
        <f>SUMPRODUCT(F15:F30,G15:G30)</f>
        <v>-23.4407385432871</v>
      </c>
      <c r="Q15" s="207"/>
      <c r="R15" s="207">
        <f>0.629*POWER(J15,-2.133)</f>
        <v>76.359906998526299</v>
      </c>
      <c r="S15" s="207"/>
      <c r="T15" s="207"/>
      <c r="U15" s="207"/>
      <c r="V15" s="33">
        <f>R15-I15</f>
        <v>13.086612338526299</v>
      </c>
      <c r="W15" s="34">
        <f>SUMSQ(V15:V30)</f>
        <v>1645.3964504564799</v>
      </c>
      <c r="X15" s="35">
        <f>W15/Q42</f>
        <v>102.83727815352999</v>
      </c>
      <c r="Y15" s="34">
        <f>SQRT(X15)</f>
        <v>10.1408716663574</v>
      </c>
      <c r="Z15" s="10"/>
      <c r="AA15" s="10"/>
    </row>
    <row r="16" spans="6:27">
      <c r="F16" s="3">
        <f t="shared" ref="F16:F30" si="0">LOG(I16)</f>
        <v>1.58272534128964</v>
      </c>
      <c r="G16" s="4">
        <f t="shared" ref="G16:G30" si="1">LOG(J16)</f>
        <v>-0.84791080357535198</v>
      </c>
      <c r="H16" s="5">
        <f>H15+1</f>
        <v>2</v>
      </c>
      <c r="I16" s="13">
        <v>38.258271190000002</v>
      </c>
      <c r="J16" s="17">
        <v>0.14193490010000001</v>
      </c>
      <c r="K16" s="2"/>
      <c r="L16" s="2"/>
      <c r="M16" s="2"/>
      <c r="N16" s="2"/>
      <c r="O16" s="2"/>
      <c r="P16" s="2"/>
      <c r="Q16" s="2"/>
      <c r="R16" s="207">
        <f t="shared" ref="R16:R30" si="2">0.629*POWER(J16,-2.133)</f>
        <v>40.480362176834703</v>
      </c>
      <c r="S16" s="207"/>
      <c r="T16" s="207"/>
      <c r="U16" s="207"/>
      <c r="V16" s="33">
        <f t="shared" ref="V16:V30" si="3">R16-I16</f>
        <v>2.2220909868346701</v>
      </c>
      <c r="W16" s="10"/>
      <c r="X16" s="10"/>
      <c r="Y16" s="10"/>
      <c r="Z16" s="10"/>
      <c r="AA16" s="10"/>
    </row>
    <row r="17" spans="6:27">
      <c r="F17" s="3">
        <f t="shared" si="0"/>
        <v>1.630149991253</v>
      </c>
      <c r="G17" s="4">
        <f t="shared" si="1"/>
        <v>-0.87764599117994702</v>
      </c>
      <c r="H17" s="5">
        <f t="shared" ref="H17:H30" si="4">H16+1</f>
        <v>3</v>
      </c>
      <c r="I17" s="13">
        <v>42.672687099999997</v>
      </c>
      <c r="J17" s="17">
        <v>0.1325421493</v>
      </c>
      <c r="K17" s="2"/>
      <c r="L17" s="2"/>
      <c r="M17" s="2"/>
      <c r="N17" s="2"/>
      <c r="O17" s="2"/>
      <c r="P17" s="2"/>
      <c r="Q17" s="2"/>
      <c r="R17" s="207">
        <f t="shared" si="2"/>
        <v>46.845679697111798</v>
      </c>
      <c r="S17" s="207"/>
      <c r="T17" s="207"/>
      <c r="U17" s="207"/>
      <c r="V17" s="33">
        <f t="shared" si="3"/>
        <v>4.17299259711179</v>
      </c>
      <c r="W17" s="10"/>
      <c r="X17" s="10"/>
      <c r="Y17" s="10"/>
      <c r="Z17" s="10"/>
      <c r="AA17" s="10"/>
    </row>
    <row r="18" spans="6:27">
      <c r="F18" s="3">
        <f t="shared" si="0"/>
        <v>2.2163232631500098</v>
      </c>
      <c r="G18" s="4">
        <f t="shared" si="1"/>
        <v>-1.1230127786956701</v>
      </c>
      <c r="H18" s="5">
        <f t="shared" si="4"/>
        <v>4</v>
      </c>
      <c r="I18" s="13">
        <v>164.5596152</v>
      </c>
      <c r="J18" s="17">
        <v>7.5333339730000004E-2</v>
      </c>
      <c r="K18" s="2"/>
      <c r="L18" s="2"/>
      <c r="M18" s="2"/>
      <c r="N18" s="2"/>
      <c r="O18" s="2"/>
      <c r="P18" s="2"/>
      <c r="Q18" s="2"/>
      <c r="R18" s="207">
        <f t="shared" si="2"/>
        <v>156.32804703826099</v>
      </c>
      <c r="S18" s="207"/>
      <c r="T18" s="207"/>
      <c r="U18" s="207"/>
      <c r="V18" s="33">
        <f t="shared" si="3"/>
        <v>-8.2315681617387195</v>
      </c>
      <c r="W18" s="10"/>
      <c r="X18" s="10"/>
      <c r="Y18" s="10"/>
      <c r="Z18" s="10"/>
      <c r="AA18" s="10"/>
    </row>
    <row r="19" spans="6:27">
      <c r="F19" s="3">
        <f t="shared" si="0"/>
        <v>2.1818794380459798</v>
      </c>
      <c r="G19" s="4">
        <f t="shared" si="1"/>
        <v>-1.0908844752521201</v>
      </c>
      <c r="H19" s="5">
        <f t="shared" si="4"/>
        <v>5</v>
      </c>
      <c r="I19" s="13">
        <v>152.01254779999999</v>
      </c>
      <c r="J19" s="17">
        <v>8.1117680669999997E-2</v>
      </c>
      <c r="K19" s="2"/>
      <c r="L19" s="2"/>
      <c r="M19" s="2"/>
      <c r="N19" s="2"/>
      <c r="O19" s="2"/>
      <c r="P19" s="2"/>
      <c r="Q19" s="2"/>
      <c r="R19" s="207">
        <f t="shared" si="2"/>
        <v>133.50798189325101</v>
      </c>
      <c r="S19" s="207"/>
      <c r="T19" s="207"/>
      <c r="U19" s="207"/>
      <c r="V19" s="33">
        <f t="shared" si="3"/>
        <v>-18.504565906748599</v>
      </c>
      <c r="W19" s="10"/>
      <c r="X19" s="10"/>
      <c r="Y19" s="10"/>
      <c r="Z19" s="10"/>
      <c r="AA19" s="10"/>
    </row>
    <row r="20" spans="6:27">
      <c r="F20" s="3">
        <f t="shared" si="0"/>
        <v>1.53417495059972</v>
      </c>
      <c r="G20" s="4">
        <f t="shared" si="1"/>
        <v>-0.83843491173329898</v>
      </c>
      <c r="H20" s="5">
        <f t="shared" si="4"/>
        <v>6</v>
      </c>
      <c r="I20" s="18">
        <v>34.211723280000001</v>
      </c>
      <c r="J20" s="19">
        <v>0.14506581700000001</v>
      </c>
      <c r="K20" s="2"/>
      <c r="L20" s="2"/>
      <c r="M20" s="2"/>
      <c r="N20" s="2"/>
      <c r="O20" s="2"/>
      <c r="P20" s="2"/>
      <c r="Q20" s="2"/>
      <c r="R20" s="207">
        <f t="shared" si="2"/>
        <v>38.639572441635401</v>
      </c>
      <c r="S20" s="207"/>
      <c r="T20" s="207"/>
      <c r="U20" s="207"/>
      <c r="V20" s="33">
        <f t="shared" si="3"/>
        <v>4.4278491616353897</v>
      </c>
      <c r="W20" s="10"/>
      <c r="X20" s="10"/>
      <c r="Y20" s="10"/>
      <c r="Z20" s="10"/>
      <c r="AA20" s="10"/>
    </row>
    <row r="21" spans="6:27">
      <c r="F21" s="3">
        <f t="shared" si="0"/>
        <v>1.8667219976412099</v>
      </c>
      <c r="G21" s="4">
        <f t="shared" si="1"/>
        <v>-0.89866434173279897</v>
      </c>
      <c r="H21" s="5">
        <f t="shared" si="4"/>
        <v>7</v>
      </c>
      <c r="I21" s="13">
        <v>73.573598439999998</v>
      </c>
      <c r="J21" s="17">
        <v>0.12628031549999999</v>
      </c>
      <c r="K21" s="2"/>
      <c r="L21" s="2"/>
      <c r="M21" s="2"/>
      <c r="N21" s="2"/>
      <c r="O21" s="2"/>
      <c r="P21" s="2"/>
      <c r="Q21" s="2"/>
      <c r="R21" s="207">
        <f t="shared" si="2"/>
        <v>51.9399690327133</v>
      </c>
      <c r="S21" s="207"/>
      <c r="T21" s="207"/>
      <c r="U21" s="207"/>
      <c r="V21" s="33">
        <f t="shared" si="3"/>
        <v>-21.633629407286701</v>
      </c>
      <c r="W21" s="10"/>
      <c r="X21" s="10"/>
      <c r="Y21" s="10"/>
      <c r="Z21" s="10"/>
      <c r="AA21" s="10"/>
    </row>
    <row r="22" spans="6:27">
      <c r="F22" s="3">
        <f t="shared" si="0"/>
        <v>1.90811468283164</v>
      </c>
      <c r="G22" s="4">
        <f t="shared" si="1"/>
        <v>-1.0272072025946399</v>
      </c>
      <c r="H22" s="5">
        <f t="shared" si="4"/>
        <v>8</v>
      </c>
      <c r="I22" s="13">
        <v>80.930958290000007</v>
      </c>
      <c r="J22" s="17">
        <v>9.3927507399999999E-2</v>
      </c>
      <c r="K22" s="2"/>
      <c r="L22" s="2"/>
      <c r="M22" s="2"/>
      <c r="N22" s="2"/>
      <c r="O22" s="2"/>
      <c r="P22" s="2"/>
      <c r="Q22" s="2"/>
      <c r="R22" s="207">
        <f t="shared" si="2"/>
        <v>97.652554515166699</v>
      </c>
      <c r="S22" s="207"/>
      <c r="T22" s="207"/>
      <c r="U22" s="207"/>
      <c r="V22" s="33">
        <f t="shared" si="3"/>
        <v>16.721596225166699</v>
      </c>
      <c r="W22" s="10"/>
      <c r="X22" s="10"/>
      <c r="Y22" s="10"/>
      <c r="Z22" s="10"/>
      <c r="AA22" s="10"/>
    </row>
    <row r="23" spans="6:27">
      <c r="F23" s="3">
        <f t="shared" si="0"/>
        <v>1.56569200197723</v>
      </c>
      <c r="G23" s="4">
        <f t="shared" si="1"/>
        <v>-0.85759807093477203</v>
      </c>
      <c r="H23" s="5">
        <f t="shared" si="4"/>
        <v>9</v>
      </c>
      <c r="I23" s="13">
        <v>36.786799219999999</v>
      </c>
      <c r="J23" s="17">
        <v>0.13880398320000001</v>
      </c>
      <c r="K23" s="2"/>
      <c r="L23" s="2"/>
      <c r="M23" s="2"/>
      <c r="N23" s="2"/>
      <c r="O23" s="2"/>
      <c r="P23" s="2"/>
      <c r="Q23" s="2"/>
      <c r="R23" s="207">
        <f t="shared" si="2"/>
        <v>42.452896878406698</v>
      </c>
      <c r="S23" s="207"/>
      <c r="T23" s="207"/>
      <c r="U23" s="207"/>
      <c r="V23" s="33">
        <f t="shared" si="3"/>
        <v>5.6660976584067102</v>
      </c>
      <c r="W23" s="10"/>
      <c r="X23" s="10"/>
      <c r="Y23" s="10"/>
      <c r="Z23" s="10"/>
      <c r="AA23" s="10"/>
    </row>
    <row r="24" spans="6:27">
      <c r="F24" s="3">
        <f t="shared" si="0"/>
        <v>1.7929786746657199</v>
      </c>
      <c r="G24" s="4">
        <f t="shared" si="1"/>
        <v>-0.88436601609204801</v>
      </c>
      <c r="H24" s="5">
        <f t="shared" si="4"/>
        <v>10</v>
      </c>
      <c r="I24" s="13">
        <v>62.083854819999999</v>
      </c>
      <c r="J24" s="17">
        <v>0.13050705330000001</v>
      </c>
      <c r="K24" s="2"/>
      <c r="L24" s="1"/>
      <c r="M24" s="1"/>
      <c r="N24" s="1"/>
      <c r="O24" s="1"/>
      <c r="P24" s="1"/>
      <c r="Q24" s="1"/>
      <c r="R24" s="207">
        <f t="shared" si="2"/>
        <v>48.417611100155703</v>
      </c>
      <c r="S24" s="207"/>
      <c r="T24" s="207"/>
      <c r="U24" s="207"/>
      <c r="V24" s="33">
        <f t="shared" si="3"/>
        <v>-13.666243719844299</v>
      </c>
      <c r="W24" s="10"/>
      <c r="X24" s="10"/>
      <c r="Y24" s="10"/>
      <c r="Z24" s="10"/>
      <c r="AA24" s="10"/>
    </row>
    <row r="25" spans="6:27">
      <c r="F25" s="3">
        <f t="shared" si="0"/>
        <v>1.42302449843474</v>
      </c>
      <c r="G25" s="4">
        <f t="shared" si="1"/>
        <v>-0.75100079062849201</v>
      </c>
      <c r="H25" s="5">
        <f t="shared" si="4"/>
        <v>11</v>
      </c>
      <c r="I25" s="13">
        <v>26.486495439999999</v>
      </c>
      <c r="J25" s="17">
        <v>0.1774186251</v>
      </c>
      <c r="K25" s="2"/>
      <c r="L25" s="1"/>
      <c r="M25" s="1"/>
      <c r="N25" s="1"/>
      <c r="O25" s="1"/>
      <c r="P25" s="1"/>
      <c r="Q25" s="1"/>
      <c r="R25" s="207">
        <f t="shared" si="2"/>
        <v>25.1498461025149</v>
      </c>
      <c r="S25" s="207"/>
      <c r="T25" s="207"/>
      <c r="U25" s="207"/>
      <c r="V25" s="33">
        <f t="shared" si="3"/>
        <v>-1.3366493374850601</v>
      </c>
      <c r="W25" s="10"/>
      <c r="X25" s="10"/>
      <c r="Y25" s="10"/>
      <c r="Z25" s="10"/>
      <c r="AA25" s="10"/>
    </row>
    <row r="26" spans="6:27">
      <c r="F26" s="3">
        <f t="shared" si="0"/>
        <v>1.5366584139864301</v>
      </c>
      <c r="G26" s="4">
        <f t="shared" si="1"/>
        <v>-0.78114652910019</v>
      </c>
      <c r="H26" s="5">
        <f t="shared" si="4"/>
        <v>12</v>
      </c>
      <c r="I26" s="13">
        <v>34.407919540000002</v>
      </c>
      <c r="J26" s="17">
        <v>0.16552114079999999</v>
      </c>
      <c r="K26" s="2"/>
      <c r="L26" s="1"/>
      <c r="M26" s="1"/>
      <c r="N26" s="1"/>
      <c r="O26" s="1"/>
      <c r="P26" s="1"/>
      <c r="Q26" s="1"/>
      <c r="R26" s="207">
        <f t="shared" si="2"/>
        <v>29.163268210635302</v>
      </c>
      <c r="S26" s="207"/>
      <c r="T26" s="207"/>
      <c r="U26" s="207"/>
      <c r="V26" s="33">
        <f t="shared" si="3"/>
        <v>-5.2446513293647303</v>
      </c>
      <c r="W26" s="10"/>
      <c r="X26" s="10"/>
      <c r="Y26" s="10"/>
      <c r="Z26" s="10"/>
      <c r="AA26" s="10"/>
    </row>
    <row r="27" spans="6:27">
      <c r="F27" s="3">
        <f t="shared" si="0"/>
        <v>1.4353427227205999</v>
      </c>
      <c r="G27" s="4">
        <f t="shared" si="1"/>
        <v>-0.779955048315775</v>
      </c>
      <c r="H27" s="5">
        <f t="shared" si="4"/>
        <v>13</v>
      </c>
      <c r="I27" s="13">
        <v>27.248507709999998</v>
      </c>
      <c r="J27" s="17">
        <v>0.16597586919999999</v>
      </c>
      <c r="K27" s="2"/>
      <c r="L27" s="1"/>
      <c r="M27" s="1"/>
      <c r="N27" s="1"/>
      <c r="O27" s="1"/>
      <c r="P27" s="1"/>
      <c r="Q27" s="1"/>
      <c r="R27" s="207">
        <f t="shared" si="2"/>
        <v>28.993107345777599</v>
      </c>
      <c r="S27" s="207"/>
      <c r="T27" s="207"/>
      <c r="U27" s="207"/>
      <c r="V27" s="33">
        <f t="shared" si="3"/>
        <v>1.7445996357776099</v>
      </c>
      <c r="W27" s="10"/>
      <c r="X27" s="10"/>
      <c r="Y27" s="10"/>
      <c r="Z27" s="10"/>
      <c r="AA27" s="10"/>
    </row>
    <row r="28" spans="6:27">
      <c r="F28" s="3">
        <f t="shared" si="0"/>
        <v>1.4421023063377401</v>
      </c>
      <c r="G28" s="4">
        <f t="shared" si="1"/>
        <v>-0.79242753946845101</v>
      </c>
      <c r="H28" s="5">
        <f t="shared" si="4"/>
        <v>14</v>
      </c>
      <c r="I28" s="13">
        <v>27.675935280000001</v>
      </c>
      <c r="J28" s="17">
        <v>0.161277009</v>
      </c>
      <c r="K28" s="2"/>
      <c r="L28" s="1"/>
      <c r="M28" s="1"/>
      <c r="N28" s="1"/>
      <c r="O28" s="1"/>
      <c r="P28" s="1"/>
      <c r="Q28" s="1"/>
      <c r="R28" s="207">
        <f t="shared" si="2"/>
        <v>30.824680736599198</v>
      </c>
      <c r="S28" s="207"/>
      <c r="T28" s="207"/>
      <c r="U28" s="207"/>
      <c r="V28" s="33">
        <f t="shared" si="3"/>
        <v>3.1487454565992201</v>
      </c>
      <c r="W28" s="10"/>
      <c r="X28" s="10"/>
      <c r="Y28" s="10"/>
      <c r="Z28" s="10"/>
      <c r="AA28" s="10"/>
    </row>
    <row r="29" spans="6:27">
      <c r="F29" s="3">
        <f t="shared" si="0"/>
        <v>1.2753011230423199</v>
      </c>
      <c r="G29" s="4">
        <f t="shared" si="1"/>
        <v>-0.724828166019161</v>
      </c>
      <c r="H29" s="6">
        <f t="shared" si="4"/>
        <v>15</v>
      </c>
      <c r="I29" s="13">
        <v>18.84955592</v>
      </c>
      <c r="J29" s="17">
        <v>0.1884394526</v>
      </c>
      <c r="K29" s="2"/>
      <c r="L29" s="1"/>
      <c r="M29" s="1"/>
      <c r="N29" s="1"/>
      <c r="O29" s="1"/>
      <c r="P29" s="1"/>
      <c r="Q29" s="1"/>
      <c r="R29" s="207">
        <f t="shared" si="2"/>
        <v>22.1161294642624</v>
      </c>
      <c r="S29" s="207"/>
      <c r="T29" s="207"/>
      <c r="U29" s="207"/>
      <c r="V29" s="33">
        <f t="shared" si="3"/>
        <v>3.26657354426241</v>
      </c>
      <c r="W29" s="10"/>
      <c r="X29" s="10"/>
      <c r="Y29" s="10"/>
      <c r="Z29" s="10"/>
      <c r="AA29" s="10"/>
    </row>
    <row r="30" spans="6:27">
      <c r="F30" s="7">
        <f t="shared" si="0"/>
        <v>1.17493057804457</v>
      </c>
      <c r="G30" s="8">
        <f t="shared" si="1"/>
        <v>-0.62208860937127697</v>
      </c>
      <c r="H30" s="9">
        <f t="shared" si="4"/>
        <v>16</v>
      </c>
      <c r="I30" s="13">
        <v>14.95996502</v>
      </c>
      <c r="J30" s="20">
        <v>0.2387324146</v>
      </c>
      <c r="K30" s="2"/>
      <c r="L30" s="1"/>
      <c r="M30" s="1"/>
      <c r="N30" s="1"/>
      <c r="O30" s="1"/>
      <c r="P30" s="1"/>
      <c r="Q30" s="1"/>
      <c r="R30" s="207">
        <f t="shared" si="2"/>
        <v>13.3525941605737</v>
      </c>
      <c r="S30" s="207"/>
      <c r="T30" s="207"/>
      <c r="U30" s="207"/>
      <c r="V30" s="33">
        <f t="shared" si="3"/>
        <v>-1.6073708594262801</v>
      </c>
      <c r="W30" s="10"/>
      <c r="X30" s="10"/>
      <c r="Y30" s="10"/>
      <c r="Z30" s="10"/>
      <c r="AA30" s="10"/>
    </row>
    <row r="31" spans="6:27">
      <c r="G31" s="10"/>
      <c r="H31" s="10"/>
      <c r="I31" s="10"/>
      <c r="J31" s="10"/>
      <c r="K31" s="10"/>
      <c r="L31" s="10"/>
      <c r="M31" s="10"/>
      <c r="N31" s="10"/>
      <c r="O31" s="10"/>
      <c r="P31" s="10"/>
      <c r="Q31" s="10"/>
      <c r="R31" s="10"/>
      <c r="S31" s="10"/>
      <c r="T31" s="10"/>
      <c r="U31" s="10"/>
      <c r="V31" s="10"/>
      <c r="W31" s="10"/>
      <c r="X31" s="10"/>
      <c r="Y31" s="10"/>
      <c r="Z31" s="10"/>
      <c r="AA31" s="10"/>
    </row>
    <row r="32" spans="6:27">
      <c r="G32" s="10"/>
      <c r="H32" s="10"/>
      <c r="I32" s="10"/>
      <c r="J32" s="10"/>
      <c r="K32" s="10"/>
      <c r="L32" s="10"/>
      <c r="M32" s="10"/>
      <c r="N32" s="10"/>
      <c r="O32" s="10"/>
      <c r="P32" s="10"/>
      <c r="Q32" s="10"/>
      <c r="R32" s="10"/>
      <c r="S32" s="10"/>
      <c r="T32" s="10"/>
      <c r="U32" s="10"/>
      <c r="V32" s="10"/>
      <c r="W32" s="10"/>
      <c r="X32" s="10"/>
      <c r="Y32" s="10"/>
      <c r="Z32" s="10"/>
      <c r="AA32" s="10"/>
    </row>
    <row r="33" spans="7:27">
      <c r="G33" s="10"/>
      <c r="H33" s="10"/>
      <c r="I33" s="10"/>
      <c r="J33" s="10"/>
      <c r="K33" s="10"/>
      <c r="L33" s="10"/>
      <c r="M33" s="10"/>
      <c r="N33" s="10"/>
      <c r="O33" s="10"/>
      <c r="P33" s="10"/>
      <c r="Q33" s="10"/>
      <c r="R33" s="10"/>
      <c r="S33" s="10"/>
      <c r="T33" s="10"/>
      <c r="U33" s="10"/>
      <c r="V33" s="10"/>
      <c r="W33" s="10"/>
      <c r="X33" s="10"/>
      <c r="Y33" s="10"/>
      <c r="Z33" s="10"/>
      <c r="AA33" s="10"/>
    </row>
    <row r="40" spans="7:27">
      <c r="O40" s="21"/>
      <c r="P40" s="22"/>
      <c r="Q40" s="22"/>
      <c r="R40" s="22"/>
      <c r="S40" s="22"/>
      <c r="T40" s="36"/>
      <c r="U40" s="36"/>
      <c r="V40" s="36"/>
      <c r="W40" s="36"/>
      <c r="X40" s="37"/>
    </row>
    <row r="41" spans="7:27">
      <c r="O41" s="23"/>
      <c r="P41" s="24"/>
      <c r="Q41" s="24"/>
      <c r="R41" s="24"/>
      <c r="S41" s="24"/>
      <c r="T41" s="38"/>
      <c r="U41" s="38"/>
      <c r="V41" s="38"/>
      <c r="W41" s="38"/>
      <c r="X41" s="39"/>
    </row>
    <row r="42" spans="7:27">
      <c r="O42" s="23"/>
      <c r="P42" s="24" t="s">
        <v>37</v>
      </c>
      <c r="Q42" s="40">
        <f>16</f>
        <v>16</v>
      </c>
      <c r="R42" s="41">
        <f>K15</f>
        <v>-13.8742996128721</v>
      </c>
      <c r="S42" s="24" t="s">
        <v>53</v>
      </c>
      <c r="T42" s="38"/>
      <c r="U42" s="38" t="s">
        <v>58</v>
      </c>
      <c r="V42" s="38"/>
      <c r="W42" s="42">
        <f>N15</f>
        <v>26.367340432916301</v>
      </c>
      <c r="X42" s="39"/>
    </row>
    <row r="43" spans="7:27">
      <c r="O43" s="23"/>
      <c r="P43" s="24" t="s">
        <v>53</v>
      </c>
      <c r="Q43" s="43">
        <f>K15</f>
        <v>-13.8742996128721</v>
      </c>
      <c r="R43" s="44">
        <f>L15</f>
        <v>12.301318162767</v>
      </c>
      <c r="S43" s="24" t="s">
        <v>59</v>
      </c>
      <c r="T43" s="38"/>
      <c r="U43" s="38" t="s">
        <v>56</v>
      </c>
      <c r="V43" s="38"/>
      <c r="W43" s="45">
        <f>P15</f>
        <v>-23.4407385432871</v>
      </c>
      <c r="X43" s="39"/>
    </row>
    <row r="44" spans="7:27">
      <c r="O44" s="23"/>
      <c r="P44" s="24"/>
      <c r="Q44" s="24"/>
      <c r="R44" s="24"/>
      <c r="S44" s="24"/>
      <c r="T44" s="38"/>
      <c r="U44" s="38"/>
      <c r="V44" s="38"/>
      <c r="W44" s="38"/>
      <c r="X44" s="39"/>
    </row>
    <row r="45" spans="7:27">
      <c r="O45" s="25"/>
      <c r="T45" s="46"/>
      <c r="U45" s="46"/>
      <c r="V45" s="46"/>
      <c r="W45" s="46"/>
      <c r="X45" s="39"/>
    </row>
    <row r="46" spans="7:27">
      <c r="O46" s="25"/>
      <c r="X46" s="39"/>
    </row>
    <row r="47" spans="7:27">
      <c r="O47" s="25"/>
      <c r="X47" s="39"/>
    </row>
    <row r="48" spans="7:27">
      <c r="O48" s="25"/>
      <c r="R48" t="s">
        <v>40</v>
      </c>
      <c r="S48" s="47">
        <f t="array" ref="S48:T49">MINVERSE(Q42:R43)</f>
        <v>2.8443006142422398</v>
      </c>
      <c r="T48" s="48">
        <v>3.2080040845148101</v>
      </c>
      <c r="X48" s="39"/>
    </row>
    <row r="49" spans="15:24">
      <c r="O49" s="25"/>
      <c r="S49" s="7">
        <v>3.2080040845148101</v>
      </c>
      <c r="T49" s="49">
        <v>3.6995067703898199</v>
      </c>
      <c r="X49" s="39"/>
    </row>
    <row r="50" spans="15:24">
      <c r="O50" s="25"/>
      <c r="X50" s="39"/>
    </row>
    <row r="51" spans="15:24">
      <c r="O51" s="25"/>
      <c r="X51" s="39"/>
    </row>
    <row r="52" spans="15:24">
      <c r="O52" s="25"/>
      <c r="X52" s="39"/>
    </row>
    <row r="53" spans="15:24">
      <c r="O53" s="25"/>
      <c r="R53" t="s">
        <v>60</v>
      </c>
      <c r="S53">
        <f t="array" ref="S53:S54">MMULT(S48:T49,W42:W43)</f>
        <v>-0.201342401630768</v>
      </c>
      <c r="X53" s="39"/>
    </row>
    <row r="54" spans="15:24">
      <c r="O54" s="25"/>
      <c r="R54" t="s">
        <v>2</v>
      </c>
      <c r="S54">
        <v>-2.1326351372401899</v>
      </c>
      <c r="X54" s="39"/>
    </row>
    <row r="55" spans="15:24">
      <c r="O55" s="25"/>
      <c r="X55" s="39"/>
    </row>
    <row r="56" spans="15:24">
      <c r="O56" s="25"/>
      <c r="X56" s="39"/>
    </row>
    <row r="57" spans="15:24">
      <c r="O57" s="25"/>
      <c r="R57" t="s">
        <v>41</v>
      </c>
      <c r="S57">
        <f>POWER(10,S53)</f>
        <v>0.62901007018132504</v>
      </c>
      <c r="X57" s="39"/>
    </row>
    <row r="58" spans="15:24">
      <c r="O58" s="25"/>
      <c r="R58" t="s">
        <v>2</v>
      </c>
      <c r="S58">
        <f>S54</f>
        <v>-2.1326351372401899</v>
      </c>
      <c r="X58" s="39"/>
    </row>
    <row r="59" spans="15:24">
      <c r="O59" s="26"/>
      <c r="P59" s="27"/>
      <c r="Q59" s="27"/>
      <c r="R59" s="27"/>
      <c r="S59" s="27"/>
      <c r="T59" s="27"/>
      <c r="U59" s="27"/>
      <c r="V59" s="27"/>
      <c r="W59" s="27"/>
      <c r="X59" s="50"/>
    </row>
  </sheetData>
  <mergeCells count="30">
    <mergeCell ref="G5:H8"/>
    <mergeCell ref="L11:M14"/>
    <mergeCell ref="N11:O14"/>
    <mergeCell ref="P11:Q14"/>
    <mergeCell ref="R11:U14"/>
    <mergeCell ref="R27:U27"/>
    <mergeCell ref="R28:U28"/>
    <mergeCell ref="R29:U29"/>
    <mergeCell ref="R30:U30"/>
    <mergeCell ref="F11:F14"/>
    <mergeCell ref="G11:G14"/>
    <mergeCell ref="H11:H14"/>
    <mergeCell ref="I11:I14"/>
    <mergeCell ref="J11:J14"/>
    <mergeCell ref="K11:K14"/>
    <mergeCell ref="R22:U22"/>
    <mergeCell ref="R23:U23"/>
    <mergeCell ref="R24:U24"/>
    <mergeCell ref="R25:U25"/>
    <mergeCell ref="R26:U26"/>
    <mergeCell ref="R17:U17"/>
    <mergeCell ref="R18:U18"/>
    <mergeCell ref="R19:U19"/>
    <mergeCell ref="R20:U20"/>
    <mergeCell ref="R21:U21"/>
    <mergeCell ref="L15:M15"/>
    <mergeCell ref="N15:O15"/>
    <mergeCell ref="P15:Q15"/>
    <mergeCell ref="R15:U15"/>
    <mergeCell ref="R16:U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abSelected="1" workbookViewId="0">
      <selection activeCell="Q19" sqref="Q19"/>
    </sheetView>
  </sheetViews>
  <sheetFormatPr defaultColWidth="9"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exercise1.14(partial)</vt:lpstr>
      <vt:lpstr>linear</vt:lpstr>
      <vt:lpstr>exponential</vt:lpstr>
      <vt:lpstr>power</vt:lpstr>
      <vt:lpstr>final decision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 NOUSHAD</dc:creator>
  <cp:lastModifiedBy>MAHI NOUSHAD</cp:lastModifiedBy>
  <dcterms:created xsi:type="dcterms:W3CDTF">2025-01-27T16:20:00Z</dcterms:created>
  <dcterms:modified xsi:type="dcterms:W3CDTF">2025-05-16T19:49:49Z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477A06BEC9AE4D6A8AA84A220DDF4AA6_12</vt:lpwstr>
  </property>
  <property fmtid="{D5CDD505-2E9C-101B-9397-08002B2CF9AE}" pid="3" name="KSOProductBuildVer">
    <vt:lpwstr>1033-12.2.0.20326</vt:lpwstr>
  </property>
</Properties>
</file>